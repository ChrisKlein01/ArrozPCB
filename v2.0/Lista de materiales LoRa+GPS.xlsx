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item4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_rels/item4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B_LoRa+GPS" sheetId="1" state="visible" r:id="rId3"/>
    <sheet name="Totalizadora" sheetId="2" state="visible" r:id="rId4"/>
  </sheets>
  <definedNames>
    <definedName function="false" hidden="true" localSheetId="0" name="DatosExternos_1" vbProcedure="false">'PCB_LoRa+GPS'!$A$1:$H$47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D2D370-D4F5-4A82-BDAE-20C49C913263}" keepAlive="1" interval="0" name="Consulta - PCB_LoRa+GPS" description="Conexión a la consulta 'PCB_LoRa+GPS' en el libro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PCB_LoRa+GPS;Extended Properties=&quot;&quot;" command="SELECT * FROM [PCB_LoRa+GPS]"/>
    <olapPr/>
  </connection>
</connections>
</file>

<file path=xl/sharedStrings.xml><?xml version="1.0" encoding="utf-8"?>
<sst xmlns="http://schemas.openxmlformats.org/spreadsheetml/2006/main" count="193" uniqueCount="157">
  <si>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</si>
  <si>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</si>
  <si>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</si>
  <si>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</si>
  <si>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</si>
  <si>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</si>
  <si>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</si>
  <si>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Datasheet</t>
  </si>
  <si>
    <t xml:space="preserve">Costo Unitario</t>
  </si>
  <si>
    <t xml:space="preserve">Total</t>
  </si>
  <si>
    <t xml:space="preserve">AJ-SR04M1</t>
  </si>
  <si>
    <t xml:space="preserve">U3</t>
  </si>
  <si>
    <t xml:space="preserve">Connector_PinSocket_1.00mm:PinSocket_1x04_P1.00mm_Vertical</t>
  </si>
  <si>
    <t xml:space="preserve">BT2</t>
  </si>
  <si>
    <t xml:space="preserve">Battery_Cell</t>
  </si>
  <si>
    <t xml:space="preserve">Connector_JST:JST_EH_S2B-EH_1x02_P2.50mm_Horizontal</t>
  </si>
  <si>
    <t xml:space="preserve">https://www.jst-mfg.com/product/pdf/eng/ePH.pdf</t>
  </si>
  <si>
    <t xml:space="preserve">C1,C14,C15</t>
  </si>
  <si>
    <t xml:space="preserve">10u</t>
  </si>
  <si>
    <t xml:space="preserve">Capacitor_SMD:C_0603_1608Metric</t>
  </si>
  <si>
    <t xml:space="preserve">https://mm.digikey.com/Volume0/opasdata/d220001/medias/docus/1231/LMK107BBJ106MALT_SS.pdf</t>
  </si>
  <si>
    <t xml:space="preserve">C2,C3,C4,C6,C11</t>
  </si>
  <si>
    <t xml:space="preserve">0.1u</t>
  </si>
  <si>
    <t xml:space="preserve">Capacitor_SMD:C_0402_1005Metric</t>
  </si>
  <si>
    <t xml:space="preserve">https://www.yageogroup.com/content/datasheet/asset/file/KEM_C1030_CBR_SMD</t>
  </si>
  <si>
    <t xml:space="preserve">C5</t>
  </si>
  <si>
    <t xml:space="preserve">4.7u</t>
  </si>
  <si>
    <t xml:space="preserve">https://mm.digikey.com/Volume0/opasdata/d220001/medias/docus/609/CL10A475KP8NNNC_Spec.pdf</t>
  </si>
  <si>
    <t xml:space="preserve">C7</t>
  </si>
  <si>
    <t xml:space="preserve">22u</t>
  </si>
  <si>
    <t xml:space="preserve">Capacitor_SMD:C_0805_2012Metric</t>
  </si>
  <si>
    <t xml:space="preserve">https://mm.digikey.com/Volume0/opasdata/d220001/medias/docus/5784/CL21A226MQQNNNE.pdf</t>
  </si>
  <si>
    <t xml:space="preserve">C8</t>
  </si>
  <si>
    <t xml:space="preserve">1u</t>
  </si>
  <si>
    <t xml:space="preserve">https://mm.digikey.com/Volume0/opasdata/d220001/medias/docus/3584/CL10B105KP8NNNC_Spec.pdf</t>
  </si>
  <si>
    <t xml:space="preserve">C9</t>
  </si>
  <si>
    <t xml:space="preserve">https://mm.digikey.com/Volume0/opasdata/d220001/medias/docus/41/CL05A475KQ5NRNC_Spec.pdf</t>
  </si>
  <si>
    <t xml:space="preserve">C10,C12,C13</t>
  </si>
  <si>
    <t xml:space="preserve">100n</t>
  </si>
  <si>
    <t xml:space="preserve">C16</t>
  </si>
  <si>
    <t xml:space="preserve">10nF</t>
  </si>
  <si>
    <t xml:space="preserve">https://www.yageogroup.com/content/datasheet/asset/file/KEM_C1015_X7R_FF-CAP_SMD</t>
  </si>
  <si>
    <t xml:space="preserve">C17,C18,C19,C20</t>
  </si>
  <si>
    <t xml:space="preserve">56pF</t>
  </si>
  <si>
    <t xml:space="preserve">https://www.yageogroup.com/content/datasheet/asset/file/KEM_C1007_X8R_ULTRA_150C_SMD</t>
  </si>
  <si>
    <t xml:space="preserve">CR1</t>
  </si>
  <si>
    <t xml:space="preserve">SMBJ5.0A</t>
  </si>
  <si>
    <t xml:space="preserve">Diode_SMD:D_SMB</t>
  </si>
  <si>
    <t xml:space="preserve">https://goodarksemi.com/docs/datasheets/transient_voltage_suppressors/SMBJx.pdf</t>
  </si>
  <si>
    <t xml:space="preserve">D1,D2</t>
  </si>
  <si>
    <t xml:space="preserve">LED</t>
  </si>
  <si>
    <t xml:space="preserve">LED_SMD:LED_0603_1608Metric</t>
  </si>
  <si>
    <t xml:space="preserve">https://www.we-online.com/components/products/datasheet/150060VS55040.pdf</t>
  </si>
  <si>
    <t xml:space="preserve">D3</t>
  </si>
  <si>
    <t xml:space="preserve">DebugLED</t>
  </si>
  <si>
    <t xml:space="preserve">https://www.we-online.com/components/products/datasheet/150060BS55040.pdf</t>
  </si>
  <si>
    <t xml:space="preserve">J1,J4</t>
  </si>
  <si>
    <t xml:space="preserve">Conn_Coaxial_Small</t>
  </si>
  <si>
    <t xml:space="preserve">Connector_Coaxial:U.FL_Hirose_U.FL-R-SMT-1_Vertical</t>
  </si>
  <si>
    <t xml:space="preserve">https://www.hirose.com/en/product/document?clcode=CL0331-0472-2-60&amp;productname=U.FL-R-SMT-1(60)&amp;series=U.FL&amp;documenttype=Catalog&amp;lang=en&amp;documentid=ed_U.FL_CAT</t>
  </si>
  <si>
    <t xml:space="preserve">J2</t>
  </si>
  <si>
    <t xml:space="preserve">USB_C_Receptacle_USB2.0_16P</t>
  </si>
  <si>
    <t xml:space="preserve">Connector_USB:USB_C_Receptacle_GCT_USB4085</t>
  </si>
  <si>
    <t xml:space="preserve">https://gct.co/files/specs/usb4085-spec.pdf</t>
  </si>
  <si>
    <t xml:space="preserve">L1</t>
  </si>
  <si>
    <t xml:space="preserve">Inductor_SMD:L_0805_2012Metric</t>
  </si>
  <si>
    <t xml:space="preserve">https://search.murata.co.jp/Ceramy/image/img/P02/JELF243B-0026.pdf</t>
  </si>
  <si>
    <t xml:space="preserve">L2</t>
  </si>
  <si>
    <t xml:space="preserve">27nH</t>
  </si>
  <si>
    <t xml:space="preserve">https://product.tdk.com/en/system/files?file=dam/doc/product/inductor/inductor/smd/catalog/inductor_commercial_standard_mlf2012_en.pdf</t>
  </si>
  <si>
    <t xml:space="preserve">Q2,Q4</t>
  </si>
  <si>
    <t xml:space="preserve">SS8050</t>
  </si>
  <si>
    <t xml:space="preserve">Package_TO_SOT_SMD:SOT-23</t>
  </si>
  <si>
    <t xml:space="preserve">http://www.secosgmbh.com/datasheet/products/SSMPTransistor/SOT-23/SS8050.pdf</t>
  </si>
  <si>
    <t xml:space="preserve">Q3</t>
  </si>
  <si>
    <t xml:space="preserve">AO3400A</t>
  </si>
  <si>
    <t xml:space="preserve">https://mm.digikey.com/Volume0/opasdata/d220001/medias/docus/2587/UMW%20AO3400A.pdf</t>
  </si>
  <si>
    <t xml:space="preserve">R1,R5,R24</t>
  </si>
  <si>
    <t xml:space="preserve">100k</t>
  </si>
  <si>
    <t xml:space="preserve">Resistor_SMD:R_0402_1005Metric</t>
  </si>
  <si>
    <t xml:space="preserve">https://www.yageogroup.com/content/datasheet/asset/file/PYU-RC_GROUP_51_ROHS_L</t>
  </si>
  <si>
    <t xml:space="preserve">R2,R3,R7,R13,R16,R17,R18,R19,R20,R27</t>
  </si>
  <si>
    <t xml:space="preserve">10k</t>
  </si>
  <si>
    <t xml:space="preserve">R4</t>
  </si>
  <si>
    <t xml:space="preserve">450k</t>
  </si>
  <si>
    <t xml:space="preserve">R6</t>
  </si>
  <si>
    <t xml:space="preserve">499k</t>
  </si>
  <si>
    <t xml:space="preserve">https://www.vishay.com/docs/28952/mcr0201at-mca1206at.pdf</t>
  </si>
  <si>
    <t xml:space="preserve">R8</t>
  </si>
  <si>
    <t xml:space="preserve">1.18k</t>
  </si>
  <si>
    <t xml:space="preserve">https://industrial.panasonic.com/cdbs/www-data/pdf/RDA0000/AOA0000C304.pdf</t>
  </si>
  <si>
    <t xml:space="preserve">R9</t>
  </si>
  <si>
    <t xml:space="preserve">1.13k</t>
  </si>
  <si>
    <t xml:space="preserve">R10</t>
  </si>
  <si>
    <t xml:space="preserve">4.12k</t>
  </si>
  <si>
    <t xml:space="preserve">https://www.te.com/commerce/DocumentDelivery/DDEController?Action=srchrtrv&amp;DocNm=1773200&amp;DocType=Data%20Sheet&amp;DocLang=English&amp;DocFormat=pdf&amp;PartCntxt=1879061-3</t>
  </si>
  <si>
    <t xml:space="preserve">R11,R12</t>
  </si>
  <si>
    <t xml:space="preserve">5.1k</t>
  </si>
  <si>
    <t xml:space="preserve">https://industrial.panasonic.com/cdbs/www-data/pdf/RDM0000/AOA0000C307.pdf</t>
  </si>
  <si>
    <t xml:space="preserve">R14</t>
  </si>
  <si>
    <t xml:space="preserve">22.1k</t>
  </si>
  <si>
    <t xml:space="preserve">https://www.vishay.com/docs/28773/crcwce3.pdf</t>
  </si>
  <si>
    <t xml:space="preserve">R15</t>
  </si>
  <si>
    <t xml:space="preserve">47.5k</t>
  </si>
  <si>
    <t xml:space="preserve">R21,R22</t>
  </si>
  <si>
    <t xml:space="preserve">22</t>
  </si>
  <si>
    <t xml:space="preserve">R23,R26</t>
  </si>
  <si>
    <t xml:space="preserve">1k</t>
  </si>
  <si>
    <t xml:space="preserve">SW1</t>
  </si>
  <si>
    <t xml:space="preserve">SW_Push</t>
  </si>
  <si>
    <t xml:space="preserve">Button_Switch_SMD:SW_Push_1P1T_NO_CK_KMR2</t>
  </si>
  <si>
    <t xml:space="preserve">https://www.ckswitches.com/media/1479/kmr2.pdf</t>
  </si>
  <si>
    <t xml:space="preserve">SW2</t>
  </si>
  <si>
    <t xml:space="preserve">SW_SPST</t>
  </si>
  <si>
    <t xml:space="preserve">Button_Switch_THT:SW_E-Switch_EG1271_SPDT</t>
  </si>
  <si>
    <t xml:space="preserve">https://configured-product-images.s3.amazonaws.com/Datasheets/EG.pdf</t>
  </si>
  <si>
    <t xml:space="preserve">U1</t>
  </si>
  <si>
    <t xml:space="preserve">ESP32-PICO-D4</t>
  </si>
  <si>
    <t xml:space="preserve">Package_DFN_QFN:QFN-48-1EP_7x7mm_P0.5mm_EP5.3x5.3mm</t>
  </si>
  <si>
    <t xml:space="preserve">https://www.espressif.com/sites/default/files/documentation/esp32-pico_series_datasheet_en.pdf</t>
  </si>
  <si>
    <t xml:space="preserve">U2</t>
  </si>
  <si>
    <t xml:space="preserve">RFM95W-915S2</t>
  </si>
  <si>
    <t xml:space="preserve">RF_Module:HOPERF_RFM9XW_SMD</t>
  </si>
  <si>
    <t xml:space="preserve">https://www.rfsolutions.co.uk/downloads/1463993415RFM95_96_97_98W.pdf</t>
  </si>
  <si>
    <t xml:space="preserve">TPS62A01ADRL</t>
  </si>
  <si>
    <t xml:space="preserve">Package_TO_SOT_SMD:SOT-563</t>
  </si>
  <si>
    <t xml:space="preserve">https://www.ti.com/lit/ds/symlink/tps62a01.pdf?ts=1651767199227&amp;ref_url=https%253A%252F%252Fwww.ti.com%252Fsitesearch%252Fen-us%252Fdocs%252Funiversalsearch.tsp%253FlangPref%253Den-US%2526searchTerm%253DTPS62A01DRLR%2526nr%253D7</t>
  </si>
  <si>
    <t xml:space="preserve">U4</t>
  </si>
  <si>
    <t xml:space="preserve">BQ24074RGT</t>
  </si>
  <si>
    <t xml:space="preserve">Package_DFN_QFN:VQFN-16-1EP_3x3mm_P0.5mm_EP1.6x1.6mm</t>
  </si>
  <si>
    <t xml:space="preserve">https://www.ti.com/general/docs/suppproductinfo.tsp?distId=10&amp;gotoUrl=https%3A%2F%2Fwww.ti.com%2Flit%2Fgpn%2Fbq24075</t>
  </si>
  <si>
    <t xml:space="preserve">U5</t>
  </si>
  <si>
    <t xml:space="preserve">TESEO-LIV3R</t>
  </si>
  <si>
    <t xml:space="preserve">Teseo:ARRAY_LIV3R_STM</t>
  </si>
  <si>
    <t xml:space="preserve">https://www.st.com/resource/en/datasheet/teseo-liv3r.pdf</t>
  </si>
  <si>
    <t xml:space="preserve">U6</t>
  </si>
  <si>
    <t xml:space="preserve">CP2102N-Axx-xQFN24</t>
  </si>
  <si>
    <t xml:space="preserve">Package_DFN_QFN:QFN-24-1EP_4x4mm_P0.5mm_EP2.6x2.6mm</t>
  </si>
  <si>
    <t xml:space="preserve">https://www.silabs.com/documents/public/data-sheets/cp2102n-datasheet.pdf</t>
  </si>
  <si>
    <t xml:space="preserve">U7</t>
  </si>
  <si>
    <t xml:space="preserve">USBLC6-2P6</t>
  </si>
  <si>
    <t xml:space="preserve">Package_TO_SOT_SMD:SOT-666</t>
  </si>
  <si>
    <t xml:space="preserve">https://www.st.com/content/ccc/resource/technical/document/datasheet/06/1d/48/9c/6c/20/4a/b2/CD00050750.pdf/files/CD00050750.pdf/jcr:content/translations/en.CD00050750.pdf</t>
  </si>
  <si>
    <t xml:space="preserve">Molex 206640-0001</t>
  </si>
  <si>
    <t xml:space="preserve">N/A</t>
  </si>
  <si>
    <t xml:space="preserve">https://www.te.com/commerce/DocumentDelivery/DDEController?Action=srchrtrv&amp;DocNm=ANT-GNCP-C185L160&amp;DocType=Data+Sheet&amp;DocLang=English&amp;DocFormat=pdf&amp;PartCntxt=ANT-GNCP-C185L160</t>
  </si>
  <si>
    <t xml:space="preserve">ANT-916-PW-QW-UFL</t>
  </si>
  <si>
    <t xml:space="preserve">https://www.te.com/commerce/DocumentDelivery/DDEController?Action=srchrtrv&amp;DocNm=ANT-916-PW-QW-xxx&amp;DocType=Data+Sheet&amp;DocLang=English&amp;DocFormat=pdf&amp;PartCntxt=ANT-916-PW-QW-UFL</t>
  </si>
  <si>
    <t xml:space="preserve">JSN SR-04T</t>
  </si>
  <si>
    <t xml:space="preserve">https://components101.com/sites/default/files/component_datasheet/JSN-SR04-Datasheet.pdf</t>
  </si>
  <si>
    <t xml:space="preserve">BATTERY LITH-ION 3.7V 2.2AH 1865</t>
  </si>
  <si>
    <t xml:space="preserve">https://cdn-shop.adafruit.com/product-files/1781/C2253_-_ICR18650_2200mAh_3.7V_with_PCM_20140728_APPROVED_8.18.pdf</t>
  </si>
  <si>
    <t xml:space="preserve">BATTERY HOLDER COIN 12.5MM SMD</t>
  </si>
  <si>
    <t xml:space="preserve">https://www.keyelco.com/userAssets/file/M65p2.pdf</t>
  </si>
  <si>
    <t xml:space="preserve">Q1</t>
  </si>
  <si>
    <t xml:space="preserve">AO3401A</t>
  </si>
  <si>
    <t xml:space="preserve">Cantidad de PCB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</si>
</sst>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u val="single"/>
      <sz val="1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u val="single"/>
      <sz val="11"/>
      <color rgb="FF0000FF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3.xml"/>
</Relationships>
</file>

<file path=xl/tables/table1.xml><?xml version="1.0" encoding="utf-8"?>
<table xmlns="http://schemas.openxmlformats.org/spreadsheetml/2006/main" id="1" name="PCB_LoRa_GPS" displayName="PCB_LoRa_GPS" ref="A1:J47" headerRowCount="1" totalsRowCount="0" totalsRowShown="0">
  <autoFilter ref="A1:J47"/>
  <tableColumns count="10">
    <tableColumn id="1" name="Reference"/>
    <tableColumn id="2" name="Qty"/>
    <tableColumn id="3" name="Value"/>
    <tableColumn id="4" name="DNP"/>
    <tableColumn id="5" name="Exclude from BOM"/>
    <tableColumn id="6" name="Exclude from Board"/>
    <tableColumn id="7" name="Footprint"/>
    <tableColumn id="8" name="Datasheet"/>
    <tableColumn id="9" name="Costo Unitario"/>
    <tableColumn id="10" name="Total"/>
  </tableColumns>
</table>
</file>

<file path=xl/tables/table2.xml><?xml version="1.0" encoding="utf-8"?>
<table xmlns="http://schemas.openxmlformats.org/spreadsheetml/2006/main" id="2" name="Tabla2" displayName="Tabla2" ref="A1:C2" headerRowCount="1" totalsRowCount="0" totalsRowShown="0">
  <autoFilter ref="A1:C2"/>
  <tableColumns count="3">
    <tableColumn id="1" name="Cantidad de PCB"/>
    <tableColumn id="2" name="Costo Unitario"/>
    <tableColumn id="3" name="Total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secosgmbh.com/datasheet/products/SSMPTransistor/SOT-23/SS8050.pdf" TargetMode="External"/><Relationship Id="rId2" Type="http://schemas.openxmlformats.org/officeDocument/2006/relationships/hyperlink" Target="https://www.rfsolutions.co.uk/downloads/1463993415RFM95_96_97_98W.pdf" TargetMode="Externa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10.63671875" defaultRowHeight="15" customHeight="true" zeroHeight="false" outlineLevelRow="0" outlineLevelCol="0"/>
  <cols>
    <col collapsed="false" customWidth="true" hidden="false" outlineLevel="0" max="1" min="1" style="1" width="30.72"/>
    <col collapsed="false" customWidth="true" hidden="false" outlineLevel="0" max="2" min="2" style="1" width="6.13"/>
    <col collapsed="false" customWidth="true" hidden="false" outlineLevel="0" max="3" min="3" style="1" width="27.14"/>
    <col collapsed="false" customWidth="true" hidden="true" outlineLevel="0" max="4" min="4" style="1" width="6.85"/>
    <col collapsed="false" customWidth="true" hidden="true" outlineLevel="0" max="5" min="5" style="1" width="18.28"/>
    <col collapsed="false" customWidth="true" hidden="true" outlineLevel="0" max="6" min="6" style="1" width="19.28"/>
    <col collapsed="false" customWidth="true" hidden="false" outlineLevel="0" max="7" min="7" style="1" width="55.42"/>
    <col collapsed="false" customWidth="true" hidden="false" outlineLevel="0" max="8" min="8" style="1" width="89.7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customFormat="false" ht="15" hidden="false" customHeight="false" outlineLevel="0" collapsed="false">
      <c r="A2" s="2" t="s">
        <v>10</v>
      </c>
      <c r="B2" s="2" t="n">
        <v>1</v>
      </c>
      <c r="C2" s="2" t="s">
        <v>11</v>
      </c>
      <c r="D2" s="2"/>
      <c r="E2" s="2"/>
      <c r="F2" s="2"/>
      <c r="G2" s="2" t="s">
        <v>12</v>
      </c>
      <c r="H2" s="2"/>
      <c r="I2" s="2" t="n">
        <v>0.48</v>
      </c>
      <c r="J2" s="2" t="n">
        <f aca="false">PCB_LoRa_GPS[[#This Row],[Costo Unitario]]*PCB_LoRa_GPS[[#This Row],[Qty]]</f>
        <v>0.48</v>
      </c>
      <c r="K2" s="3"/>
    </row>
    <row r="3" customFormat="false" ht="15" hidden="false" customHeight="false" outlineLevel="0" collapsed="false">
      <c r="A3" s="2" t="s">
        <v>13</v>
      </c>
      <c r="B3" s="2" t="n">
        <v>1</v>
      </c>
      <c r="C3" s="2" t="s">
        <v>14</v>
      </c>
      <c r="D3" s="2"/>
      <c r="E3" s="2"/>
      <c r="F3" s="2"/>
      <c r="G3" s="2" t="s">
        <v>15</v>
      </c>
      <c r="H3" s="2" t="s">
        <v>16</v>
      </c>
      <c r="I3" s="2" t="n">
        <v>0.1</v>
      </c>
      <c r="J3" s="2" t="n">
        <f aca="false">PCB_LoRa_GPS[[#This Row],[Costo Unitario]]*PCB_LoRa_GPS[[#This Row],[Qty]]</f>
        <v>0.1</v>
      </c>
      <c r="K3" s="3"/>
    </row>
    <row r="4" customFormat="false" ht="15" hidden="false" customHeight="false" outlineLevel="0" collapsed="false">
      <c r="A4" s="2" t="s">
        <v>17</v>
      </c>
      <c r="B4" s="2" t="n">
        <v>3</v>
      </c>
      <c r="C4" s="2" t="s">
        <v>18</v>
      </c>
      <c r="D4" s="2"/>
      <c r="E4" s="2"/>
      <c r="F4" s="2"/>
      <c r="G4" s="2" t="s">
        <v>19</v>
      </c>
      <c r="H4" s="4" t="s">
        <v>20</v>
      </c>
      <c r="I4" s="2" t="n">
        <v>0.08</v>
      </c>
      <c r="J4" s="2" t="n">
        <f aca="false">PCB_LoRa_GPS[[#This Row],[Costo Unitario]]*PCB_LoRa_GPS[[#This Row],[Qty]]</f>
        <v>0.24</v>
      </c>
      <c r="K4" s="3"/>
    </row>
    <row r="5" customFormat="false" ht="15" hidden="false" customHeight="false" outlineLevel="0" collapsed="false">
      <c r="A5" s="2" t="s">
        <v>21</v>
      </c>
      <c r="B5" s="2" t="n">
        <v>5</v>
      </c>
      <c r="C5" s="2" t="s">
        <v>22</v>
      </c>
      <c r="D5" s="2"/>
      <c r="E5" s="2"/>
      <c r="F5" s="2"/>
      <c r="G5" s="2" t="s">
        <v>23</v>
      </c>
      <c r="H5" s="2" t="s">
        <v>24</v>
      </c>
      <c r="I5" s="2" t="n">
        <v>0.2</v>
      </c>
      <c r="J5" s="2" t="n">
        <f aca="false">PCB_LoRa_GPS[[#This Row],[Costo Unitario]]*PCB_LoRa_GPS[[#This Row],[Qty]]</f>
        <v>1</v>
      </c>
      <c r="K5" s="3"/>
    </row>
    <row r="6" customFormat="false" ht="15" hidden="false" customHeight="false" outlineLevel="0" collapsed="false">
      <c r="A6" s="2" t="s">
        <v>25</v>
      </c>
      <c r="B6" s="2" t="n">
        <v>1</v>
      </c>
      <c r="C6" s="2" t="s">
        <v>26</v>
      </c>
      <c r="D6" s="2"/>
      <c r="E6" s="2"/>
      <c r="F6" s="2"/>
      <c r="G6" s="2" t="s">
        <v>19</v>
      </c>
      <c r="H6" s="4" t="s">
        <v>27</v>
      </c>
      <c r="I6" s="2" t="n">
        <v>0.08</v>
      </c>
      <c r="J6" s="2" t="n">
        <f aca="false">PCB_LoRa_GPS[[#This Row],[Costo Unitario]]*PCB_LoRa_GPS[[#This Row],[Qty]]</f>
        <v>0.08</v>
      </c>
      <c r="K6" s="3"/>
    </row>
    <row r="7" customFormat="false" ht="15" hidden="false" customHeight="false" outlineLevel="0" collapsed="false">
      <c r="A7" s="2" t="s">
        <v>28</v>
      </c>
      <c r="B7" s="2" t="n">
        <v>1</v>
      </c>
      <c r="C7" s="2" t="s">
        <v>29</v>
      </c>
      <c r="D7" s="2"/>
      <c r="E7" s="2"/>
      <c r="F7" s="2"/>
      <c r="G7" s="2" t="s">
        <v>30</v>
      </c>
      <c r="H7" s="2" t="s">
        <v>31</v>
      </c>
      <c r="I7" s="2" t="n">
        <v>0.12</v>
      </c>
      <c r="J7" s="2" t="n">
        <f aca="false">PCB_LoRa_GPS[[#This Row],[Costo Unitario]]*PCB_LoRa_GPS[[#This Row],[Qty]]</f>
        <v>0.12</v>
      </c>
      <c r="K7" s="3"/>
    </row>
    <row r="8" customFormat="false" ht="15" hidden="false" customHeight="false" outlineLevel="0" collapsed="false">
      <c r="A8" s="2" t="s">
        <v>32</v>
      </c>
      <c r="B8" s="2" t="n">
        <v>1</v>
      </c>
      <c r="C8" s="2" t="s">
        <v>33</v>
      </c>
      <c r="D8" s="2"/>
      <c r="E8" s="2"/>
      <c r="F8" s="2"/>
      <c r="G8" s="2" t="s">
        <v>23</v>
      </c>
      <c r="H8" s="4" t="s">
        <v>34</v>
      </c>
      <c r="I8" s="2" t="n">
        <v>0.1</v>
      </c>
      <c r="J8" s="2" t="n">
        <f aca="false">PCB_LoRa_GPS[[#This Row],[Costo Unitario]]*PCB_LoRa_GPS[[#This Row],[Qty]]</f>
        <v>0.1</v>
      </c>
      <c r="K8" s="3"/>
    </row>
    <row r="9" customFormat="false" ht="15" hidden="false" customHeight="false" outlineLevel="0" collapsed="false">
      <c r="A9" s="2" t="s">
        <v>35</v>
      </c>
      <c r="B9" s="2" t="n">
        <v>1</v>
      </c>
      <c r="C9" s="2" t="s">
        <v>26</v>
      </c>
      <c r="D9" s="2"/>
      <c r="E9" s="2"/>
      <c r="F9" s="2"/>
      <c r="G9" s="2" t="s">
        <v>23</v>
      </c>
      <c r="H9" s="2" t="s">
        <v>36</v>
      </c>
      <c r="I9" s="2" t="n">
        <v>0.08</v>
      </c>
      <c r="J9" s="2" t="n">
        <f aca="false">PCB_LoRa_GPS[[#This Row],[Costo Unitario]]*PCB_LoRa_GPS[[#This Row],[Qty]]</f>
        <v>0.08</v>
      </c>
      <c r="K9" s="3"/>
    </row>
    <row r="10" customFormat="false" ht="15" hidden="false" customHeight="false" outlineLevel="0" collapsed="false">
      <c r="A10" s="2" t="s">
        <v>37</v>
      </c>
      <c r="B10" s="2" t="n">
        <v>3</v>
      </c>
      <c r="C10" s="2" t="s">
        <v>38</v>
      </c>
      <c r="D10" s="2"/>
      <c r="E10" s="2"/>
      <c r="F10" s="2"/>
      <c r="G10" s="2" t="s">
        <v>23</v>
      </c>
      <c r="H10" s="2" t="s">
        <v>24</v>
      </c>
      <c r="I10" s="2" t="n">
        <v>0.14</v>
      </c>
      <c r="J10" s="2" t="n">
        <f aca="false">PCB_LoRa_GPS[[#This Row],[Costo Unitario]]*PCB_LoRa_GPS[[#This Row],[Qty]]</f>
        <v>0.42</v>
      </c>
      <c r="K10" s="3"/>
    </row>
    <row r="11" customFormat="false" ht="15" hidden="false" customHeight="false" outlineLevel="0" collapsed="false">
      <c r="A11" s="2" t="s">
        <v>39</v>
      </c>
      <c r="B11" s="2" t="n">
        <v>1</v>
      </c>
      <c r="C11" s="2" t="s">
        <v>40</v>
      </c>
      <c r="D11" s="2"/>
      <c r="E11" s="2"/>
      <c r="F11" s="2"/>
      <c r="G11" s="2" t="s">
        <v>30</v>
      </c>
      <c r="H11" s="2" t="s">
        <v>41</v>
      </c>
      <c r="I11" s="2" t="n">
        <v>0.37</v>
      </c>
      <c r="J11" s="2" t="n">
        <f aca="false">PCB_LoRa_GPS[[#This Row],[Costo Unitario]]*PCB_LoRa_GPS[[#This Row],[Qty]]</f>
        <v>0.37</v>
      </c>
      <c r="K11" s="3"/>
    </row>
    <row r="12" customFormat="false" ht="15" hidden="false" customHeight="false" outlineLevel="0" collapsed="false">
      <c r="A12" s="2" t="s">
        <v>42</v>
      </c>
      <c r="B12" s="2" t="n">
        <v>4</v>
      </c>
      <c r="C12" s="2" t="s">
        <v>43</v>
      </c>
      <c r="D12" s="2"/>
      <c r="E12" s="2"/>
      <c r="F12" s="2"/>
      <c r="G12" s="2" t="s">
        <v>19</v>
      </c>
      <c r="H12" s="2" t="s">
        <v>44</v>
      </c>
      <c r="I12" s="2" t="n">
        <v>0.1</v>
      </c>
      <c r="J12" s="2" t="n">
        <f aca="false">PCB_LoRa_GPS[[#This Row],[Costo Unitario]]*PCB_LoRa_GPS[[#This Row],[Qty]]</f>
        <v>0.4</v>
      </c>
      <c r="K12" s="3"/>
    </row>
    <row r="13" customFormat="false" ht="15" hidden="false" customHeight="false" outlineLevel="0" collapsed="false">
      <c r="A13" s="2" t="s">
        <v>45</v>
      </c>
      <c r="B13" s="2" t="n">
        <v>1</v>
      </c>
      <c r="C13" s="2" t="s">
        <v>46</v>
      </c>
      <c r="D13" s="2"/>
      <c r="E13" s="2"/>
      <c r="F13" s="2"/>
      <c r="G13" s="2" t="s">
        <v>47</v>
      </c>
      <c r="H13" s="2" t="s">
        <v>48</v>
      </c>
      <c r="I13" s="2" t="n">
        <v>0.3</v>
      </c>
      <c r="J13" s="2" t="n">
        <f aca="false">PCB_LoRa_GPS[[#This Row],[Costo Unitario]]*PCB_LoRa_GPS[[#This Row],[Qty]]</f>
        <v>0.3</v>
      </c>
      <c r="K13" s="3"/>
    </row>
    <row r="14" customFormat="false" ht="15" hidden="false" customHeight="false" outlineLevel="0" collapsed="false">
      <c r="A14" s="2" t="s">
        <v>49</v>
      </c>
      <c r="B14" s="2" t="n">
        <v>2</v>
      </c>
      <c r="C14" s="2" t="s">
        <v>50</v>
      </c>
      <c r="D14" s="2"/>
      <c r="E14" s="2"/>
      <c r="F14" s="2"/>
      <c r="G14" s="2" t="s">
        <v>51</v>
      </c>
      <c r="H14" s="2" t="s">
        <v>52</v>
      </c>
      <c r="I14" s="2" t="n">
        <v>0.19</v>
      </c>
      <c r="J14" s="2" t="n">
        <f aca="false">PCB_LoRa_GPS[[#This Row],[Costo Unitario]]*PCB_LoRa_GPS[[#This Row],[Qty]]</f>
        <v>0.38</v>
      </c>
      <c r="K14" s="3"/>
    </row>
    <row r="15" customFormat="false" ht="15" hidden="false" customHeight="false" outlineLevel="0" collapsed="false">
      <c r="A15" s="2" t="s">
        <v>53</v>
      </c>
      <c r="B15" s="2" t="n">
        <v>1</v>
      </c>
      <c r="C15" s="2" t="s">
        <v>54</v>
      </c>
      <c r="D15" s="2"/>
      <c r="E15" s="2"/>
      <c r="F15" s="2"/>
      <c r="G15" s="2" t="s">
        <v>51</v>
      </c>
      <c r="H15" s="2" t="s">
        <v>55</v>
      </c>
      <c r="I15" s="2" t="n">
        <v>0.19</v>
      </c>
      <c r="J15" s="2" t="n">
        <f aca="false">PCB_LoRa_GPS[[#This Row],[Costo Unitario]]*PCB_LoRa_GPS[[#This Row],[Qty]]</f>
        <v>0.19</v>
      </c>
      <c r="K15" s="3"/>
    </row>
    <row r="16" customFormat="false" ht="15" hidden="false" customHeight="false" outlineLevel="0" collapsed="false">
      <c r="A16" s="2" t="s">
        <v>56</v>
      </c>
      <c r="B16" s="2" t="n">
        <v>2</v>
      </c>
      <c r="C16" s="2" t="s">
        <v>57</v>
      </c>
      <c r="D16" s="2"/>
      <c r="E16" s="2"/>
      <c r="F16" s="2"/>
      <c r="G16" s="2" t="s">
        <v>58</v>
      </c>
      <c r="H16" s="2" t="s">
        <v>59</v>
      </c>
      <c r="I16" s="2" t="n">
        <v>1.13</v>
      </c>
      <c r="J16" s="2" t="n">
        <f aca="false">PCB_LoRa_GPS[[#This Row],[Costo Unitario]]*PCB_LoRa_GPS[[#This Row],[Qty]]</f>
        <v>2.26</v>
      </c>
      <c r="K16" s="3"/>
    </row>
    <row r="17" customFormat="false" ht="15" hidden="false" customHeight="false" outlineLevel="0" collapsed="false">
      <c r="A17" s="2" t="s">
        <v>60</v>
      </c>
      <c r="B17" s="2" t="n">
        <v>1</v>
      </c>
      <c r="C17" s="2" t="s">
        <v>61</v>
      </c>
      <c r="D17" s="2"/>
      <c r="E17" s="2"/>
      <c r="F17" s="2"/>
      <c r="G17" s="2" t="s">
        <v>62</v>
      </c>
      <c r="H17" s="2" t="s">
        <v>63</v>
      </c>
      <c r="I17" s="2" t="n">
        <v>0.88</v>
      </c>
      <c r="J17" s="2" t="n">
        <f aca="false">PCB_LoRa_GPS[[#This Row],[Costo Unitario]]*PCB_LoRa_GPS[[#This Row],[Qty]]</f>
        <v>0.88</v>
      </c>
      <c r="K17" s="3"/>
    </row>
    <row r="18" customFormat="false" ht="15" hidden="false" customHeight="false" outlineLevel="0" collapsed="false">
      <c r="A18" s="2" t="s">
        <v>64</v>
      </c>
      <c r="B18" s="2" t="n">
        <v>1</v>
      </c>
      <c r="C18" s="2" t="s">
        <v>33</v>
      </c>
      <c r="D18" s="2"/>
      <c r="E18" s="2"/>
      <c r="F18" s="2"/>
      <c r="G18" s="2" t="s">
        <v>65</v>
      </c>
      <c r="H18" s="2" t="s">
        <v>66</v>
      </c>
      <c r="I18" s="2" t="n">
        <v>0.17</v>
      </c>
      <c r="J18" s="2" t="n">
        <f aca="false">PCB_LoRa_GPS[[#This Row],[Costo Unitario]]*PCB_LoRa_GPS[[#This Row],[Qty]]</f>
        <v>0.17</v>
      </c>
      <c r="K18" s="3"/>
    </row>
    <row r="19" customFormat="false" ht="15" hidden="false" customHeight="false" outlineLevel="0" collapsed="false">
      <c r="A19" s="2" t="s">
        <v>67</v>
      </c>
      <c r="B19" s="2" t="n">
        <v>1</v>
      </c>
      <c r="C19" s="2" t="s">
        <v>68</v>
      </c>
      <c r="D19" s="2"/>
      <c r="E19" s="2"/>
      <c r="F19" s="2"/>
      <c r="G19" s="2" t="s">
        <v>65</v>
      </c>
      <c r="H19" s="2" t="s">
        <v>69</v>
      </c>
      <c r="I19" s="2" t="n">
        <v>0.12</v>
      </c>
      <c r="J19" s="2" t="n">
        <f aca="false">PCB_LoRa_GPS[[#This Row],[Costo Unitario]]*PCB_LoRa_GPS[[#This Row],[Qty]]</f>
        <v>0.12</v>
      </c>
      <c r="K19" s="3"/>
    </row>
    <row r="20" customFormat="false" ht="15" hidden="false" customHeight="false" outlineLevel="0" collapsed="false">
      <c r="A20" s="2" t="s">
        <v>70</v>
      </c>
      <c r="B20" s="2" t="n">
        <v>2</v>
      </c>
      <c r="C20" s="2" t="s">
        <v>71</v>
      </c>
      <c r="D20" s="2"/>
      <c r="E20" s="2"/>
      <c r="F20" s="2"/>
      <c r="G20" s="2" t="s">
        <v>72</v>
      </c>
      <c r="H20" s="5" t="s">
        <v>73</v>
      </c>
      <c r="I20" s="2" t="n">
        <v>0.1</v>
      </c>
      <c r="J20" s="2" t="n">
        <f aca="false">PCB_LoRa_GPS[[#This Row],[Costo Unitario]]*PCB_LoRa_GPS[[#This Row],[Qty]]</f>
        <v>0.2</v>
      </c>
      <c r="K20" s="3"/>
    </row>
    <row r="21" customFormat="false" ht="15" hidden="false" customHeight="false" outlineLevel="0" collapsed="false">
      <c r="A21" s="2" t="s">
        <v>74</v>
      </c>
      <c r="B21" s="2" t="n">
        <v>1</v>
      </c>
      <c r="C21" s="2" t="s">
        <v>75</v>
      </c>
      <c r="D21" s="2"/>
      <c r="E21" s="2"/>
      <c r="F21" s="2"/>
      <c r="G21" s="2" t="s">
        <v>72</v>
      </c>
      <c r="H21" s="4" t="s">
        <v>76</v>
      </c>
      <c r="I21" s="2" t="n">
        <v>0.18</v>
      </c>
      <c r="J21" s="2" t="n">
        <f aca="false">PCB_LoRa_GPS[[#This Row],[Costo Unitario]]*PCB_LoRa_GPS[[#This Row],[Qty]]</f>
        <v>0.18</v>
      </c>
      <c r="K21" s="3"/>
    </row>
    <row r="22" customFormat="false" ht="15" hidden="false" customHeight="false" outlineLevel="0" collapsed="false">
      <c r="A22" s="2" t="s">
        <v>77</v>
      </c>
      <c r="B22" s="2" t="n">
        <v>3</v>
      </c>
      <c r="C22" s="2" t="s">
        <v>78</v>
      </c>
      <c r="D22" s="2"/>
      <c r="E22" s="2"/>
      <c r="F22" s="2"/>
      <c r="G22" s="2" t="s">
        <v>79</v>
      </c>
      <c r="H22" s="2" t="s">
        <v>80</v>
      </c>
      <c r="I22" s="2" t="n">
        <v>0.1</v>
      </c>
      <c r="J22" s="2" t="n">
        <f aca="false">PCB_LoRa_GPS[[#This Row],[Costo Unitario]]*PCB_LoRa_GPS[[#This Row],[Qty]]</f>
        <v>0.3</v>
      </c>
      <c r="K22" s="3"/>
    </row>
    <row r="23" customFormat="false" ht="15" hidden="false" customHeight="false" outlineLevel="0" collapsed="false">
      <c r="A23" s="2" t="s">
        <v>81</v>
      </c>
      <c r="B23" s="2" t="n">
        <v>11</v>
      </c>
      <c r="C23" s="2" t="s">
        <v>82</v>
      </c>
      <c r="D23" s="2"/>
      <c r="E23" s="2"/>
      <c r="F23" s="2"/>
      <c r="G23" s="2" t="s">
        <v>79</v>
      </c>
      <c r="H23" s="2" t="s">
        <v>80</v>
      </c>
      <c r="I23" s="2" t="n">
        <v>0.1</v>
      </c>
      <c r="J23" s="2" t="n">
        <f aca="false">PCB_LoRa_GPS[[#This Row],[Costo Unitario]]*PCB_LoRa_GPS[[#This Row],[Qty]]</f>
        <v>1.1</v>
      </c>
      <c r="K23" s="3"/>
    </row>
    <row r="24" customFormat="false" ht="15" hidden="false" customHeight="false" outlineLevel="0" collapsed="false">
      <c r="A24" s="2" t="s">
        <v>83</v>
      </c>
      <c r="B24" s="2" t="n">
        <v>1</v>
      </c>
      <c r="C24" s="2" t="s">
        <v>84</v>
      </c>
      <c r="D24" s="2"/>
      <c r="E24" s="2"/>
      <c r="F24" s="2"/>
      <c r="G24" s="2" t="s">
        <v>79</v>
      </c>
      <c r="H24" s="2" t="s">
        <v>80</v>
      </c>
      <c r="I24" s="2" t="n">
        <v>0.1</v>
      </c>
      <c r="J24" s="2" t="n">
        <f aca="false">PCB_LoRa_GPS[[#This Row],[Costo Unitario]]*PCB_LoRa_GPS[[#This Row],[Qty]]</f>
        <v>0.1</v>
      </c>
      <c r="K24" s="3"/>
    </row>
    <row r="25" customFormat="false" ht="15" hidden="false" customHeight="false" outlineLevel="0" collapsed="false">
      <c r="A25" s="2" t="s">
        <v>85</v>
      </c>
      <c r="B25" s="2" t="n">
        <v>1</v>
      </c>
      <c r="C25" s="2" t="s">
        <v>86</v>
      </c>
      <c r="D25" s="2"/>
      <c r="E25" s="2"/>
      <c r="F25" s="2"/>
      <c r="G25" s="2" t="s">
        <v>79</v>
      </c>
      <c r="H25" s="2" t="s">
        <v>87</v>
      </c>
      <c r="I25" s="2" t="n">
        <v>0.2</v>
      </c>
      <c r="J25" s="2" t="n">
        <f aca="false">PCB_LoRa_GPS[[#This Row],[Costo Unitario]]*PCB_LoRa_GPS[[#This Row],[Qty]]</f>
        <v>0.2</v>
      </c>
      <c r="K25" s="3"/>
    </row>
    <row r="26" customFormat="false" ht="15" hidden="false" customHeight="false" outlineLevel="0" collapsed="false">
      <c r="A26" s="2" t="s">
        <v>88</v>
      </c>
      <c r="B26" s="2" t="n">
        <v>1</v>
      </c>
      <c r="C26" s="2" t="s">
        <v>89</v>
      </c>
      <c r="D26" s="2"/>
      <c r="E26" s="2"/>
      <c r="F26" s="2"/>
      <c r="G26" s="2" t="s">
        <v>79</v>
      </c>
      <c r="H26" s="2" t="s">
        <v>90</v>
      </c>
      <c r="I26" s="2" t="n">
        <v>0.1</v>
      </c>
      <c r="J26" s="2" t="n">
        <f aca="false">PCB_LoRa_GPS[[#This Row],[Costo Unitario]]*PCB_LoRa_GPS[[#This Row],[Qty]]</f>
        <v>0.1</v>
      </c>
      <c r="K26" s="3"/>
    </row>
    <row r="27" customFormat="false" ht="15" hidden="false" customHeight="false" outlineLevel="0" collapsed="false">
      <c r="A27" s="2" t="s">
        <v>91</v>
      </c>
      <c r="B27" s="2" t="n">
        <v>1</v>
      </c>
      <c r="C27" s="2" t="s">
        <v>92</v>
      </c>
      <c r="D27" s="2"/>
      <c r="E27" s="2"/>
      <c r="F27" s="2"/>
      <c r="G27" s="2" t="s">
        <v>79</v>
      </c>
      <c r="H27" s="2" t="s">
        <v>90</v>
      </c>
      <c r="I27" s="2" t="n">
        <v>0.1</v>
      </c>
      <c r="J27" s="2" t="n">
        <f aca="false">PCB_LoRa_GPS[[#This Row],[Costo Unitario]]*PCB_LoRa_GPS[[#This Row],[Qty]]</f>
        <v>0.1</v>
      </c>
      <c r="K27" s="3"/>
    </row>
    <row r="28" customFormat="false" ht="15" hidden="false" customHeight="false" outlineLevel="0" collapsed="false">
      <c r="A28" s="2" t="s">
        <v>93</v>
      </c>
      <c r="B28" s="2" t="n">
        <v>1</v>
      </c>
      <c r="C28" s="2" t="s">
        <v>94</v>
      </c>
      <c r="D28" s="2"/>
      <c r="E28" s="2"/>
      <c r="F28" s="2"/>
      <c r="G28" s="2" t="s">
        <v>79</v>
      </c>
      <c r="H28" s="2" t="s">
        <v>95</v>
      </c>
      <c r="I28" s="2" t="n">
        <v>0.23</v>
      </c>
      <c r="J28" s="2" t="n">
        <f aca="false">PCB_LoRa_GPS[[#This Row],[Costo Unitario]]*PCB_LoRa_GPS[[#This Row],[Qty]]</f>
        <v>0.23</v>
      </c>
      <c r="K28" s="3"/>
    </row>
    <row r="29" customFormat="false" ht="15" hidden="false" customHeight="false" outlineLevel="0" collapsed="false">
      <c r="A29" s="2" t="s">
        <v>96</v>
      </c>
      <c r="B29" s="2" t="n">
        <v>2</v>
      </c>
      <c r="C29" s="2" t="s">
        <v>97</v>
      </c>
      <c r="D29" s="2"/>
      <c r="E29" s="2"/>
      <c r="F29" s="2"/>
      <c r="G29" s="2" t="s">
        <v>79</v>
      </c>
      <c r="H29" s="2" t="s">
        <v>98</v>
      </c>
      <c r="I29" s="2" t="n">
        <v>0.1</v>
      </c>
      <c r="J29" s="2" t="n">
        <f aca="false">PCB_LoRa_GPS[[#This Row],[Costo Unitario]]*PCB_LoRa_GPS[[#This Row],[Qty]]</f>
        <v>0.2</v>
      </c>
      <c r="K29" s="3"/>
    </row>
    <row r="30" customFormat="false" ht="15" hidden="false" customHeight="false" outlineLevel="0" collapsed="false">
      <c r="A30" s="2" t="s">
        <v>99</v>
      </c>
      <c r="B30" s="2" t="n">
        <v>1</v>
      </c>
      <c r="C30" s="2" t="s">
        <v>100</v>
      </c>
      <c r="D30" s="2"/>
      <c r="E30" s="2"/>
      <c r="F30" s="2"/>
      <c r="G30" s="2" t="s">
        <v>79</v>
      </c>
      <c r="H30" s="2" t="s">
        <v>101</v>
      </c>
      <c r="I30" s="2" t="n">
        <v>0.1</v>
      </c>
      <c r="J30" s="2" t="n">
        <f aca="false">PCB_LoRa_GPS[[#This Row],[Costo Unitario]]*PCB_LoRa_GPS[[#This Row],[Qty]]</f>
        <v>0.1</v>
      </c>
      <c r="K30" s="3"/>
    </row>
    <row r="31" customFormat="false" ht="15" hidden="false" customHeight="false" outlineLevel="0" collapsed="false">
      <c r="A31" s="2" t="s">
        <v>102</v>
      </c>
      <c r="B31" s="2" t="n">
        <v>1</v>
      </c>
      <c r="C31" s="2" t="s">
        <v>103</v>
      </c>
      <c r="D31" s="2"/>
      <c r="E31" s="2"/>
      <c r="F31" s="2"/>
      <c r="G31" s="2" t="s">
        <v>79</v>
      </c>
      <c r="H31" s="2" t="s">
        <v>80</v>
      </c>
      <c r="I31" s="2" t="n">
        <v>0.1</v>
      </c>
      <c r="J31" s="2" t="n">
        <f aca="false">PCB_LoRa_GPS[[#This Row],[Costo Unitario]]*PCB_LoRa_GPS[[#This Row],[Qty]]</f>
        <v>0.1</v>
      </c>
      <c r="K31" s="3"/>
    </row>
    <row r="32" customFormat="false" ht="15" hidden="false" customHeight="false" outlineLevel="0" collapsed="false">
      <c r="A32" s="2" t="s">
        <v>104</v>
      </c>
      <c r="B32" s="2" t="n">
        <v>2</v>
      </c>
      <c r="C32" s="2" t="s">
        <v>105</v>
      </c>
      <c r="D32" s="2"/>
      <c r="E32" s="2"/>
      <c r="F32" s="2"/>
      <c r="G32" s="2" t="s">
        <v>79</v>
      </c>
      <c r="H32" s="2" t="s">
        <v>80</v>
      </c>
      <c r="I32" s="2" t="n">
        <v>0.1</v>
      </c>
      <c r="J32" s="2" t="n">
        <f aca="false">PCB_LoRa_GPS[[#This Row],[Costo Unitario]]*PCB_LoRa_GPS[[#This Row],[Qty]]</f>
        <v>0.2</v>
      </c>
      <c r="K32" s="3"/>
    </row>
    <row r="33" customFormat="false" ht="15" hidden="false" customHeight="false" outlineLevel="0" collapsed="false">
      <c r="A33" s="2" t="s">
        <v>106</v>
      </c>
      <c r="B33" s="2" t="n">
        <v>2</v>
      </c>
      <c r="C33" s="2" t="s">
        <v>107</v>
      </c>
      <c r="D33" s="2"/>
      <c r="E33" s="2"/>
      <c r="F33" s="2"/>
      <c r="G33" s="2" t="s">
        <v>79</v>
      </c>
      <c r="H33" s="2" t="s">
        <v>80</v>
      </c>
      <c r="I33" s="2" t="n">
        <v>0.1</v>
      </c>
      <c r="J33" s="2" t="n">
        <f aca="false">PCB_LoRa_GPS[[#This Row],[Costo Unitario]]*PCB_LoRa_GPS[[#This Row],[Qty]]</f>
        <v>0.2</v>
      </c>
      <c r="K33" s="3"/>
    </row>
    <row r="34" customFormat="false" ht="15" hidden="false" customHeight="false" outlineLevel="0" collapsed="false">
      <c r="A34" s="2" t="s">
        <v>108</v>
      </c>
      <c r="B34" s="2" t="n">
        <v>1</v>
      </c>
      <c r="C34" s="2" t="s">
        <v>109</v>
      </c>
      <c r="D34" s="2"/>
      <c r="E34" s="2"/>
      <c r="F34" s="2"/>
      <c r="G34" s="2" t="s">
        <v>110</v>
      </c>
      <c r="H34" s="2" t="s">
        <v>111</v>
      </c>
      <c r="I34" s="2" t="n">
        <v>0.59</v>
      </c>
      <c r="J34" s="2" t="n">
        <f aca="false">PCB_LoRa_GPS[[#This Row],[Costo Unitario]]*PCB_LoRa_GPS[[#This Row],[Qty]]</f>
        <v>0.59</v>
      </c>
      <c r="K34" s="3"/>
    </row>
    <row r="35" customFormat="false" ht="15" hidden="false" customHeight="false" outlineLevel="0" collapsed="false">
      <c r="A35" s="2" t="s">
        <v>112</v>
      </c>
      <c r="B35" s="2" t="n">
        <v>1</v>
      </c>
      <c r="C35" s="2" t="s">
        <v>113</v>
      </c>
      <c r="D35" s="2"/>
      <c r="E35" s="2"/>
      <c r="F35" s="2"/>
      <c r="G35" s="2" t="s">
        <v>114</v>
      </c>
      <c r="H35" s="2" t="s">
        <v>115</v>
      </c>
      <c r="I35" s="2" t="n">
        <v>0.94</v>
      </c>
      <c r="J35" s="2" t="n">
        <f aca="false">PCB_LoRa_GPS[[#This Row],[Costo Unitario]]*PCB_LoRa_GPS[[#This Row],[Qty]]</f>
        <v>0.94</v>
      </c>
      <c r="K35" s="3"/>
    </row>
    <row r="36" customFormat="false" ht="15" hidden="false" customHeight="false" outlineLevel="0" collapsed="false">
      <c r="A36" s="2" t="s">
        <v>116</v>
      </c>
      <c r="B36" s="2" t="n">
        <v>1</v>
      </c>
      <c r="C36" s="2" t="s">
        <v>117</v>
      </c>
      <c r="D36" s="2"/>
      <c r="E36" s="2"/>
      <c r="F36" s="2"/>
      <c r="G36" s="2" t="s">
        <v>118</v>
      </c>
      <c r="H36" s="2" t="s">
        <v>119</v>
      </c>
      <c r="I36" s="2" t="n">
        <v>6.79</v>
      </c>
      <c r="J36" s="2" t="n">
        <f aca="false">PCB_LoRa_GPS[[#This Row],[Costo Unitario]]*PCB_LoRa_GPS[[#This Row],[Qty]]</f>
        <v>6.79</v>
      </c>
      <c r="K36" s="3"/>
    </row>
    <row r="37" customFormat="false" ht="15" hidden="false" customHeight="false" outlineLevel="0" collapsed="false">
      <c r="A37" s="2" t="s">
        <v>120</v>
      </c>
      <c r="B37" s="2" t="n">
        <v>1</v>
      </c>
      <c r="C37" s="2" t="s">
        <v>121</v>
      </c>
      <c r="D37" s="2"/>
      <c r="E37" s="2"/>
      <c r="F37" s="2"/>
      <c r="G37" s="2" t="s">
        <v>122</v>
      </c>
      <c r="H37" s="5" t="s">
        <v>123</v>
      </c>
      <c r="I37" s="2" t="n">
        <v>22.99</v>
      </c>
      <c r="J37" s="2" t="n">
        <f aca="false">PCB_LoRa_GPS[[#This Row],[Costo Unitario]]*PCB_LoRa_GPS[[#This Row],[Qty]]</f>
        <v>22.99</v>
      </c>
      <c r="K37" s="3"/>
    </row>
    <row r="38" customFormat="false" ht="15" hidden="false" customHeight="false" outlineLevel="0" collapsed="false">
      <c r="A38" s="2" t="s">
        <v>11</v>
      </c>
      <c r="B38" s="2" t="n">
        <v>1</v>
      </c>
      <c r="C38" s="2" t="s">
        <v>124</v>
      </c>
      <c r="D38" s="2"/>
      <c r="E38" s="2"/>
      <c r="F38" s="2"/>
      <c r="G38" s="2" t="s">
        <v>125</v>
      </c>
      <c r="H38" s="2" t="s">
        <v>126</v>
      </c>
      <c r="I38" s="2" t="n">
        <v>0.19</v>
      </c>
      <c r="J38" s="2" t="n">
        <f aca="false">PCB_LoRa_GPS[[#This Row],[Costo Unitario]]*PCB_LoRa_GPS[[#This Row],[Qty]]</f>
        <v>0.19</v>
      </c>
      <c r="K38" s="3"/>
    </row>
    <row r="39" customFormat="false" ht="15" hidden="false" customHeight="false" outlineLevel="0" collapsed="false">
      <c r="A39" s="2" t="s">
        <v>127</v>
      </c>
      <c r="B39" s="2" t="n">
        <v>1</v>
      </c>
      <c r="C39" s="2" t="s">
        <v>128</v>
      </c>
      <c r="D39" s="2"/>
      <c r="E39" s="2"/>
      <c r="F39" s="2"/>
      <c r="G39" s="2" t="s">
        <v>129</v>
      </c>
      <c r="H39" s="2" t="s">
        <v>130</v>
      </c>
      <c r="I39" s="2" t="n">
        <v>2.36</v>
      </c>
      <c r="J39" s="2" t="n">
        <f aca="false">PCB_LoRa_GPS[[#This Row],[Costo Unitario]]*PCB_LoRa_GPS[[#This Row],[Qty]]</f>
        <v>2.36</v>
      </c>
      <c r="K39" s="3"/>
    </row>
    <row r="40" customFormat="false" ht="15" hidden="false" customHeight="false" outlineLevel="0" collapsed="false">
      <c r="A40" s="2" t="s">
        <v>131</v>
      </c>
      <c r="B40" s="2" t="n">
        <v>1</v>
      </c>
      <c r="C40" s="2" t="s">
        <v>132</v>
      </c>
      <c r="D40" s="2"/>
      <c r="E40" s="2"/>
      <c r="F40" s="2"/>
      <c r="G40" s="2" t="s">
        <v>133</v>
      </c>
      <c r="H40" s="2" t="s">
        <v>134</v>
      </c>
      <c r="I40" s="2" t="n">
        <v>12.07</v>
      </c>
      <c r="J40" s="2" t="n">
        <f aca="false">PCB_LoRa_GPS[[#This Row],[Costo Unitario]]*PCB_LoRa_GPS[[#This Row],[Qty]]</f>
        <v>12.07</v>
      </c>
      <c r="K40" s="3"/>
    </row>
    <row r="41" customFormat="false" ht="15" hidden="false" customHeight="false" outlineLevel="0" collapsed="false">
      <c r="A41" s="2" t="s">
        <v>135</v>
      </c>
      <c r="B41" s="2" t="n">
        <v>1</v>
      </c>
      <c r="C41" s="2" t="s">
        <v>136</v>
      </c>
      <c r="D41" s="2"/>
      <c r="E41" s="2"/>
      <c r="F41" s="2"/>
      <c r="G41" s="2" t="s">
        <v>137</v>
      </c>
      <c r="H41" s="2" t="s">
        <v>138</v>
      </c>
      <c r="I41" s="2" t="n">
        <v>4.14</v>
      </c>
      <c r="J41" s="2" t="n">
        <f aca="false">PCB_LoRa_GPS[[#This Row],[Costo Unitario]]*PCB_LoRa_GPS[[#This Row],[Qty]]</f>
        <v>4.14</v>
      </c>
      <c r="K41" s="3"/>
    </row>
    <row r="42" customFormat="false" ht="15" hidden="false" customHeight="false" outlineLevel="0" collapsed="false">
      <c r="A42" s="2" t="s">
        <v>139</v>
      </c>
      <c r="B42" s="2" t="n">
        <v>1</v>
      </c>
      <c r="C42" s="2" t="s">
        <v>140</v>
      </c>
      <c r="D42" s="2"/>
      <c r="E42" s="2"/>
      <c r="F42" s="2"/>
      <c r="G42" s="2" t="s">
        <v>141</v>
      </c>
      <c r="H42" s="2" t="s">
        <v>142</v>
      </c>
      <c r="I42" s="2" t="n">
        <v>0.51</v>
      </c>
      <c r="J42" s="2" t="n">
        <f aca="false">PCB_LoRa_GPS[[#This Row],[Costo Unitario]]*PCB_LoRa_GPS[[#This Row],[Qty]]</f>
        <v>0.51</v>
      </c>
      <c r="K42" s="3"/>
    </row>
    <row r="43" customFormat="false" ht="15" hidden="false" customHeight="false" outlineLevel="0" collapsed="false">
      <c r="A43" s="2"/>
      <c r="B43" s="2" t="n">
        <v>1</v>
      </c>
      <c r="C43" s="2" t="s">
        <v>143</v>
      </c>
      <c r="D43" s="2"/>
      <c r="E43" s="2"/>
      <c r="F43" s="2"/>
      <c r="G43" s="2" t="s">
        <v>144</v>
      </c>
      <c r="H43" s="2" t="s">
        <v>145</v>
      </c>
      <c r="I43" s="2" t="n">
        <v>16.98</v>
      </c>
      <c r="J43" s="2" t="n">
        <f aca="false">PCB_LoRa_GPS[[#This Row],[Costo Unitario]]*PCB_LoRa_GPS[[#This Row],[Qty]]</f>
        <v>16.98</v>
      </c>
      <c r="K43" s="3"/>
    </row>
    <row r="44" customFormat="false" ht="15" hidden="false" customHeight="false" outlineLevel="0" collapsed="false">
      <c r="A44" s="2"/>
      <c r="B44" s="2" t="n">
        <v>1</v>
      </c>
      <c r="C44" s="2" t="s">
        <v>146</v>
      </c>
      <c r="D44" s="2"/>
      <c r="E44" s="2"/>
      <c r="F44" s="2"/>
      <c r="G44" s="2" t="s">
        <v>144</v>
      </c>
      <c r="H44" s="2" t="s">
        <v>147</v>
      </c>
      <c r="I44" s="2" t="n">
        <v>9.36</v>
      </c>
      <c r="J44" s="2" t="n">
        <f aca="false">PCB_LoRa_GPS[[#This Row],[Costo Unitario]]*PCB_LoRa_GPS[[#This Row],[Qty]]</f>
        <v>9.36</v>
      </c>
      <c r="K44" s="3"/>
    </row>
    <row r="45" customFormat="false" ht="15" hidden="false" customHeight="false" outlineLevel="0" collapsed="false">
      <c r="A45" s="2"/>
      <c r="B45" s="2" t="n">
        <v>1</v>
      </c>
      <c r="C45" s="2" t="s">
        <v>148</v>
      </c>
      <c r="D45" s="2"/>
      <c r="E45" s="2"/>
      <c r="F45" s="2"/>
      <c r="G45" s="2" t="s">
        <v>144</v>
      </c>
      <c r="H45" s="2" t="s">
        <v>149</v>
      </c>
      <c r="I45" s="2" t="n">
        <v>10</v>
      </c>
      <c r="J45" s="2" t="n">
        <f aca="false">PCB_LoRa_GPS[[#This Row],[Costo Unitario]]*PCB_LoRa_GPS[[#This Row],[Qty]]</f>
        <v>10</v>
      </c>
      <c r="K45" s="3"/>
    </row>
    <row r="46" customFormat="false" ht="15" hidden="false" customHeight="false" outlineLevel="0" collapsed="false">
      <c r="A46" s="2"/>
      <c r="B46" s="2" t="n">
        <v>1</v>
      </c>
      <c r="C46" s="2" t="s">
        <v>150</v>
      </c>
      <c r="D46" s="2"/>
      <c r="E46" s="2"/>
      <c r="F46" s="2"/>
      <c r="G46" s="2" t="s">
        <v>144</v>
      </c>
      <c r="H46" s="2" t="s">
        <v>151</v>
      </c>
      <c r="I46" s="2" t="n">
        <v>9.95</v>
      </c>
      <c r="J46" s="2" t="n">
        <f aca="false">PCB_LoRa_GPS[[#This Row],[Costo Unitario]]*PCB_LoRa_GPS[[#This Row],[Qty]]</f>
        <v>9.95</v>
      </c>
      <c r="K46" s="3"/>
    </row>
    <row r="47" customFormat="false" ht="15" hidden="false" customHeight="false" outlineLevel="0" collapsed="false">
      <c r="A47" s="2"/>
      <c r="B47" s="2" t="n">
        <v>1</v>
      </c>
      <c r="C47" s="2" t="s">
        <v>152</v>
      </c>
      <c r="D47" s="2"/>
      <c r="E47" s="2"/>
      <c r="F47" s="2"/>
      <c r="G47" s="2"/>
      <c r="H47" s="2" t="s">
        <v>153</v>
      </c>
      <c r="I47" s="2" t="n">
        <v>1.2</v>
      </c>
      <c r="J47" s="2" t="n">
        <f aca="false">PCB_LoRa_GPS[[#This Row],[Costo Unitario]]*PCB_LoRa_GPS[[#This Row],[Qty]]</f>
        <v>1.2</v>
      </c>
      <c r="K47" s="3"/>
    </row>
    <row r="48" customFormat="false" ht="15" hidden="false" customHeight="false" outlineLevel="0" collapsed="false">
      <c r="A48" s="2" t="s">
        <v>154</v>
      </c>
      <c r="B48" s="2" t="n">
        <v>1</v>
      </c>
      <c r="C48" s="2" t="s">
        <v>155</v>
      </c>
      <c r="D48" s="2"/>
      <c r="E48" s="2"/>
      <c r="F48" s="2"/>
      <c r="G48" s="2" t="s">
        <v>72</v>
      </c>
      <c r="H48" s="2"/>
      <c r="I48" s="2"/>
      <c r="J48" s="2"/>
      <c r="K48" s="3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3"/>
    </row>
  </sheetData>
  <hyperlinks>
    <hyperlink ref="H20" r:id="rId1" display="http://www.secosgmbh.com/datasheet/products/SSMPTransistor/SOT-23/SS8050.pdf"/>
    <hyperlink ref="H37" r:id="rId2" display="https://www.rfsolutions.co.uk/downloads/1463993415RFM95_96_97_98W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63671875" defaultRowHeight="15" customHeight="true" zeroHeight="false" outlineLevelRow="0" outlineLevelCol="0"/>
  <cols>
    <col collapsed="false" customWidth="true" hidden="false" outlineLevel="0" max="1" min="1" style="1" width="16.72"/>
    <col collapsed="false" customWidth="true" hidden="false" outlineLevel="0" max="2" min="2" style="1" width="14.72"/>
    <col collapsed="false" customWidth="true" hidden="false" outlineLevel="0" max="3" min="3" style="1" width="7"/>
  </cols>
  <sheetData>
    <row r="1" customFormat="false" ht="15" hidden="false" customHeight="false" outlineLevel="0" collapsed="false">
      <c r="A1" s="6" t="s">
        <v>156</v>
      </c>
      <c r="B1" s="6" t="s">
        <v>8</v>
      </c>
      <c r="C1" s="6" t="s">
        <v>9</v>
      </c>
    </row>
    <row r="2" customFormat="false" ht="15" hidden="false" customHeight="false" outlineLevel="0" collapsed="false">
      <c r="A2" s="1" t="n">
        <v>1</v>
      </c>
      <c r="B2" s="1" t="n">
        <f aca="false">SUM(PCB_LoRa_GPS[Total])</f>
        <v>109.07</v>
      </c>
      <c r="C2" s="1" t="n">
        <f aca="false">A2*B2</f>
        <v>109.07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DataMashup xmlns="http://schemas.microsoft.com/DataMashup">AAAAAHYEAABQSwMEFAACAAgAwxZWW1h1ypilAAAA9wAAABIAHABDb25maWcvUGFja2FnZS54bWwgohgAKKAUAAAAAAAAAAAAAAAAAAAAAAAAAAAAhY9LDoIwGISvQrqnD8D4yE9ZuJXExMS4bUqFRiiGFsvdXHgkryBGUXcu55tvMXO/3iAbmjq4qM7q1qSIYYoCZWRbaFOmqHfHcIEyDlshT6JUwSgbuxpskaLKufOKEO899jFuu5JElDJyyDc7WalGoI+s/8uhNtYJIxXisH+N4RFmyRzPaIwpkAlCrs1XiMa9z/YHwrqvXd8prmyYsCWQKQN5n+APUEsDBBQAAgAIAMMWVl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DFlZbElRVkG8BAACKAgAAEwAcAEZvcm11bGFzL1NlY3Rpb24xLm0gohgAKKAUAAAAAAAAAAAAAAAAAAAAAAAAAAAAhVBNSwMxEL0X+h9CvLS4LigqYtmDbusHqK3u6sUVSbPTGslmymS2tBb/u6lVVKqYy0xeXt6bNx40G3QiW9XtTrPRbPgnRVCKDTlIjx8v8EZtng4yKRJhgZsNEU6fzBhcQFI/jbuo6woct06MhThFx+HiWzI9LG49kC+ezdipou+gS2YKRc9rMoxksMh72XlWHBHhS/DaqpRxxadh8d091n4q29F9F6ypDAMlsiMjkaKtK+eTg0j0nMbSuHGyvbO3E4nrGhkynltIvtr4Ch08tKNViA0Z/qghvKgSvZgQVjg1oV0mzdUw0AdLjOEMVBlytFapI3H/gR9Zm2llFfmEqf4unJsJCq2qoQnaX3o5KedHSNVq7nw+Ad/6c4xosZA3MAICpyGE5UAXDDN+jcRCXvM8YOeO93fjpdA7eKdsvU7tXg3WsN5M27oEMQp+4rh/+Q8BFZVrlBNEnpBxvO6oWPkngJ8vr+1mw7jfd9R5A1BLAQItABQAAgAIAMMWVltYdcqYpQAAAPcAAAASAAAAAAAAAAAAAAAAAAAAAABDb25maWcvUGFja2FnZS54bWxQSwECLQAUAAIACADDFlZbD8rpq6QAAADpAAAAEwAAAAAAAAAAAAAAAADxAAAAW0NvbnRlbnRfVHlwZXNdLnhtbFBLAQItABQAAgAIAMMWVlsSVFWQbwEAAIoCAAATAAAAAAAAAAAAAAAAAOIBAABGb3JtdWxhcy9TZWN0aW9uMS5tUEsFBgAAAAADAAMAwgAAAJ4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hwNAAAAAAAA+gw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QQ0JfTG9SYSUyQkdQUz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2VkYzZiNTlkLTYwMjAtNDk3Ni1iOTk2LWRkNDkzNGQ2MTYyOCIgLz48RW50cnkgVHlwZT0iQnVmZmVyTmV4dFJlZnJlc2giIFZhbHVlPSJsMSIgLz48RW50cnkgVHlwZT0iUmVzdWx0VHlwZSIgVmFsdWU9InNUYWJsZSIgLz48RW50cnkgVHlwZT0iTmFtZVVwZGF0ZWRBZnRlckZpbGwiIFZhbHVlPSJsMCIgLz48RW50cnkgVHlwZT0iRmlsbFRhcmdldCIgVmFsdWU9InNQQ0JfTG9SYV9HUFMiIC8+PEVudHJ5IFR5cGU9IkZpbGxlZENvbXBsZXRlUmVzdWx0VG9Xb3Jrc2hlZXQiIFZhbHVlPSJsMSIgLz48RW50cnkgVHlwZT0iQWRkZWRUb0RhdGFNb2RlbCIgVmFsdWU9ImwwIiAvPjxFbnRyeSBUeXBlPSJGaWxsQ291bnQiIFZhbHVlPSJsNDEiIC8+PEVudHJ5IFR5cGU9IkZpbGxFcnJvckNvZGUiIFZhbHVlPSJzVW5rbm93biIgLz48RW50cnkgVHlwZT0iRmlsbEVycm9yQ291bnQiIFZhbHVlPSJsMCIgLz48RW50cnkgVHlwZT0iRmlsbExhc3RVcGRhdGVkIiBWYWx1ZT0iZDIwMjUtMTAtMjJUMDU6NTQ6MDcuODcwNDM0NVoiIC8+PEVudHJ5IFR5cGU9IkZpbGxDb2x1bW5UeXBlcyIgVmFsdWU9InNCZ01HQmdZR0JnWT0iIC8+PEVudHJ5IFR5cGU9IkZpbGxDb2x1bW5OYW1lcyIgVmFsdWU9InNbJnF1b3Q7UmVmZXJlbmNlJnF1b3Q7LCZxdW90O1F0eSZxdW90OywmcXVvdDtWYWx1ZSZxdW90OywmcXVvdDtETlAmcXVvdDssJnF1b3Q7RXhjbHVkZSBmcm9tIEJPTSZxdW90OywmcXVvdDtFeGNsdWRlIGZyb20gQm9hcmQmcXVvdDssJnF1b3Q7Rm9vdHByaW50JnF1b3Q7LCZxdW90O0RhdGFzaGVldCZxdW90O10iIC8+PEVudHJ5IFR5cGU9IkZpbGxTdGF0dXMiIFZhbHVlPSJzQ29tcGxldGUiIC8+PEVudHJ5IFR5cGU9IlJlbGF0aW9uc2hpcEluZm9Db250YWluZXIiIFZhbHVlPSJzeyZxdW90O2NvbHVtbkNvdW50JnF1b3Q7OjgsJnF1b3Q7a2V5Q29sdW1uTmFtZXMmcXVvdDs6W10sJnF1b3Q7cXVlcnlSZWxhdGlvbnNoaXBzJnF1b3Q7OltdLCZxdW90O2NvbHVtbklkZW50aXRpZXMmcXVvdDs6WyZxdW90O1NlY3Rpb24xL1BDQl9Mb1JhK0dQUy9BdXRvUmVtb3ZlZENvbHVtbnMxLntSZWZlcmVuY2UsMH0mcXVvdDssJnF1b3Q7U2VjdGlvbjEvUENCX0xvUmErR1BTL0F1dG9SZW1vdmVkQ29sdW1uczEue1F0eSwxfSZxdW90OywmcXVvdDtTZWN0aW9uMS9QQ0JfTG9SYStHUFMvQXV0b1JlbW92ZWRDb2x1bW5zMS57VmFsdWUsMn0mcXVvdDssJnF1b3Q7U2VjdGlvbjEvUENCX0xvUmErR1BTL0F1dG9SZW1vdmVkQ29sdW1uczEue0ROUCwzfSZxdW90OywmcXVvdDtTZWN0aW9uMS9QQ0JfTG9SYStHUFMvQXV0b1JlbW92ZWRDb2x1bW5zMS57RXhjbHVkZSBmcm9tIEJPTSw0fSZxdW90OywmcXVvdDtTZWN0aW9uMS9QQ0JfTG9SYStHUFMvQXV0b1JlbW92ZWRDb2x1bW5zMS57RXhjbHVkZSBmcm9tIEJvYXJkLDV9JnF1b3Q7LCZxdW90O1NlY3Rpb24xL1BDQl9Mb1JhK0dQUy9BdXRvUmVtb3ZlZENvbHVtbnMxLntGb290cHJpbnQsNn0mcXVvdDssJnF1b3Q7U2VjdGlvbjEvUENCX0xvUmErR1BTL0F1dG9SZW1vdmVkQ29sdW1uczEue0RhdGFzaGVldCw3fSZxdW90O10sJnF1b3Q7Q29sdW1uQ291bnQmcXVvdDs6OCwmcXVvdDtLZXlDb2x1bW5OYW1lcyZxdW90OzpbXSwmcXVvdDtDb2x1bW5JZGVudGl0aWVzJnF1b3Q7OlsmcXVvdDtTZWN0aW9uMS9QQ0JfTG9SYStHUFMvQXV0b1JlbW92ZWRDb2x1bW5zMS57UmVmZXJlbmNlLDB9JnF1b3Q7LCZxdW90O1NlY3Rpb24xL1BDQl9Mb1JhK0dQUy9BdXRvUmVtb3ZlZENvbHVtbnMxLntRdHksMX0mcXVvdDssJnF1b3Q7U2VjdGlvbjEvUENCX0xvUmErR1BTL0F1dG9SZW1vdmVkQ29sdW1uczEue1ZhbHVlLDJ9JnF1b3Q7LCZxdW90O1NlY3Rpb24xL1BDQl9Mb1JhK0dQUy9BdXRvUmVtb3ZlZENvbHVtbnMxLntETlAsM30mcXVvdDssJnF1b3Q7U2VjdGlvbjEvUENCX0xvUmErR1BTL0F1dG9SZW1vdmVkQ29sdW1uczEue0V4Y2x1ZGUgZnJvbSBCT00sNH0mcXVvdDssJnF1b3Q7U2VjdGlvbjEvUENCX0xvUmErR1BTL0F1dG9SZW1vdmVkQ29sdW1uczEue0V4Y2x1ZGUgZnJvbSBCb2FyZCw1fSZxdW90OywmcXVvdDtTZWN0aW9uMS9QQ0JfTG9SYStHUFMvQXV0b1JlbW92ZWRDb2x1bW5zMS57Rm9vdHByaW50LDZ9JnF1b3Q7LCZxdW90O1NlY3Rpb24xL1BDQl9Mb1JhK0dQUy9BdXRvUmVtb3ZlZENvbHVtbnMxLntEYXRhc2hlZXQsN30mcXVvdDtdLCZxdW90O1JlbGF0aW9uc2hpcEluZm8mcXVvdDs6W119IiAvPjwvU3RhYmxlRW50cmllcz48L0l0ZW0+PEl0ZW0+PEl0ZW1Mb2NhdGlvbj48SXRlbVR5cGU+Rm9ybXVsYTwvSXRlbVR5cGU+PEl0ZW1QYXRoPlNlY3Rpb24xL1BDQl9Mb1JhJTJCR1BTL09yaWdlbjwvSXRlbVBhdGg+PC9JdGVtTG9jYXRpb24+PFN0YWJsZUVudHJpZXMgLz48L0l0ZW0+PEl0ZW0+PEl0ZW1Mb2NhdGlvbj48SXRlbVR5cGU+Rm9ybXVsYTwvSXRlbVR5cGU+PEl0ZW1QYXRoPlNlY3Rpb24xL1BDQl9Mb1JhJTJCR1BTL0VuY2FiZXphZG9zJTIwcHJvbW92aWRvczwvSXRlbVBhdGg+PC9JdGVtTG9jYXRpb24+PFN0YWJsZUVudHJpZXMgLz48L0l0ZW0+PEl0ZW0+PEl0ZW1Mb2NhdGlvbj48SXRlbVR5cGU+Rm9ybXVsYTwvSXRlbVR5cGU+PEl0ZW1QYXRoPlNlY3Rpb24xL1BDQl9Mb1JhJTJCR1BTL1RpcG8lMjBjYW1iaWFkbzwvSXRlbVBhdGg+PC9JdGVtTG9jYXRpb24+PFN0YWJsZUVudHJpZXMgLz48L0l0ZW0+PC9JdGVtcz48L0xvY2FsUGFja2FnZU1ldGFkYXRhRmlsZT4WAAAAUEsFBgAAAAAAAAAAAAAAAAAAAAAAACYBAAABAAAA0Iyd3wEV0RGMegDAT8KX6wEAAAAGVxKp7m1BSZBqJ83n5+8vAAAAAAIAAAAAABBmAAAAAQAAIAAAAA+10r9tGQnaTYtA7bdfKmYoALcYQFgtpBsOhWEYi6DBAAAAAA6AAAAAAgAAIAAAACh/rCAT0tmZSV6ofHSJG2YBFUxE+JOmSak1w7dQkVMlUAAAAIUcSf8zxK4++aeRYH3pjxFx2ltYnTLDcwNBHYxISQZyMtTazan4Z6AB2zGjm+PUmgervaDJX2Cnzf4RhmdV+tA9n/UGzgb3k6sITIRDHnLDQAAAAEyjGikXsPdaYxoBhCDPkyylfUzWEyYw/64JVHpZn7lBcB0ybsr7v6CAcgUmYYFbRNE5c3mTjBJwA9e5OdXezqQ=</DataMashup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C197098743B043875A2BCC8CFC5A44" ma:contentTypeVersion="11" ma:contentTypeDescription="Crear nuevo documento." ma:contentTypeScope="" ma:versionID="bd7ea3b8667f6bff975632427aa67636">
  <xsd:schema xmlns:xsd="http://www.w3.org/2001/XMLSchema" xmlns:xs="http://www.w3.org/2001/XMLSchema" xmlns:p="http://schemas.microsoft.com/office/2006/metadata/properties" xmlns:ns3="017d63cf-aacb-433f-be61-2f146b75cd06" xmlns:ns4="52992fd3-dc4d-4594-8aaa-4692e878d2dd" targetNamespace="http://schemas.microsoft.com/office/2006/metadata/properties" ma:root="true" ma:fieldsID="4576141e16ed5a63448786d5a728846e" ns3:_="" ns4:_="">
    <xsd:import namespace="017d63cf-aacb-433f-be61-2f146b75cd06"/>
    <xsd:import namespace="52992fd3-dc4d-4594-8aaa-4692e878d2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7d63cf-aacb-433f-be61-2f146b75c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92fd3-dc4d-4594-8aaa-4692e878d2d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7d63cf-aacb-433f-be61-2f146b75cd06" xsi:nil="true"/>
  </documentManagement>
</p:properties>
</file>

<file path=customXml/itemProps1.xml><?xml version="1.0" encoding="utf-8"?>
<ds:datastoreItem xmlns:ds="http://schemas.openxmlformats.org/officeDocument/2006/customXml" ds:itemID="{F39BF9F3-4739-4E0D-846B-F9F76A68811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D17CD45-65F1-44ED-A546-3C8FA4F5D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7d63cf-aacb-433f-be61-2f146b75cd06"/>
    <ds:schemaRef ds:uri="52992fd3-dc4d-4594-8aaa-4692e878d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8D469E-5E1F-499C-94A3-732EB6DB995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ABBD17B-24C7-43BD-A371-6A3249E20488}">
  <ds:schemaRefs>
    <ds:schemaRef ds:uri="017d63cf-aacb-433f-be61-2f146b75cd06"/>
    <ds:schemaRef ds:uri="http://www.w3.org/XML/1998/namespace"/>
    <ds:schemaRef ds:uri="http://schemas.openxmlformats.org/package/2006/metadata/core-properties"/>
    <ds:schemaRef ds:uri="http://purl.org/dc/elements/1.1/"/>
    <ds:schemaRef ds:uri="52992fd3-dc4d-4594-8aaa-4692e878d2dd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2025-10-22T05:53:41Z</dcterms:created>
  <dc:creator>JUAN RAMALLO</dc:creator>
  <dc:description/>
  <dc:language>es-419</dc:language>
  <cp:lastModifiedBy/>
  <dcterms:modified xsi:type="dcterms:W3CDTF">2025-10-28T17:48:08Z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0x010100E7C197098743B043875A2BCC8CFC5A44</vt:lpwstr>
  </property>
</Properties>
</file>