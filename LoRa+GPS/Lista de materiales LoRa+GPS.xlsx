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jigna\OneDrive\Escritorio\Tesis\ArrozPCB-main\LoRa+GPS\"/>
    </mc:Choice>
  </mc:AlternateContent>
  <xr:revisionPtr revIDLastSave="0" documentId="13_ncr:1_{E5AD76C3-B1B6-464F-BA27-C62C80212653}" xr6:coauthVersionLast="47" xr6:coauthVersionMax="47" xr10:uidLastSave="{00000000-0000-0000-0000-000000000000}"/>
  <bookViews>
    <workbookView xWindow="-120" yWindow="-120" windowWidth="29040" windowHeight="15840" xr2:uid="{88596D2D-D850-4463-8F5B-4A444707CAEF}"/>
  </bookViews>
  <sheets>
    <sheet name="PCB_LoRa+GPS" sheetId="2" r:id="rId1"/>
    <sheet name="Totalizadora" sheetId="1" r:id="rId2"/>
  </sheets>
  <definedNames>
    <definedName name="DatosExternos_1" localSheetId="0" hidden="1">'PCB_LoRa+GPS'!$A$1:$H$47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2" l="1"/>
  <c r="J46" i="2"/>
  <c r="J45" i="2"/>
  <c r="J44" i="2"/>
  <c r="J43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B2" i="1" l="1"/>
  <c r="C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D2D370-D4F5-4A82-BDAE-20C49C913263}" keepAlive="1" name="Consulta - PCB_LoRa+GPS" description="Conexión a la consulta 'PCB_LoRa+GPS' en el libro." type="5" refreshedVersion="8" background="1" saveData="1">
    <dbPr connection="Provider=Microsoft.Mashup.OleDb.1;Data Source=$Workbook$;Location=PCB_LoRa+GPS;Extended Properties=&quot;&quot;" command="SELECT * FROM [PCB_LoRa+GPS]"/>
  </connection>
</connections>
</file>

<file path=xl/sharedStrings.xml><?xml version="1.0" encoding="utf-8"?>
<sst xmlns="http://schemas.openxmlformats.org/spreadsheetml/2006/main" count="314" uniqueCount="156">
  <si>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</si>
  <si>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</si>
  <si>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</si>
  <si>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</si>
  <si>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</si>
  <si>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</si>
  <si>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</si>
  <si>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</si>
  <si>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AJ-SR04M1</t>
  </si>
  <si>
    <t>U3</t>
  </si>
  <si>
    <t/>
  </si>
  <si>
    <t>Connector_PinSocket_1.00mm:PinSocket_1x04_P1.00mm_Vertical</t>
  </si>
  <si>
    <t>BT2</t>
  </si>
  <si>
    <t>Battery_Cell</t>
  </si>
  <si>
    <t>Connector_JST:JST_EH_S2B-EH_1x02_P2.50mm_Horizontal</t>
  </si>
  <si>
    <t>C1,C14,C15</t>
  </si>
  <si>
    <t>10u</t>
  </si>
  <si>
    <t>Capacitor_SMD:C_0603_1608Metric</t>
  </si>
  <si>
    <t>C2,C3,C4,C6,C11</t>
  </si>
  <si>
    <t>0.1u</t>
  </si>
  <si>
    <t>Capacitor_SMD:C_0402_1005Metric</t>
  </si>
  <si>
    <t>C5</t>
  </si>
  <si>
    <t>4.7u</t>
  </si>
  <si>
    <t>C7</t>
  </si>
  <si>
    <t>22u</t>
  </si>
  <si>
    <t>Capacitor_SMD:C_0805_2012Metric</t>
  </si>
  <si>
    <t>C8</t>
  </si>
  <si>
    <t>1u</t>
  </si>
  <si>
    <t>C9</t>
  </si>
  <si>
    <t>C10,C12,C13</t>
  </si>
  <si>
    <t>100n</t>
  </si>
  <si>
    <t>C16</t>
  </si>
  <si>
    <t>10nF</t>
  </si>
  <si>
    <t>C17,C18,C19,C20</t>
  </si>
  <si>
    <t>56pF</t>
  </si>
  <si>
    <t>CR1</t>
  </si>
  <si>
    <t>SMBJ5.0A</t>
  </si>
  <si>
    <t>Diode_SMD:D_SMB</t>
  </si>
  <si>
    <t>D1,D2</t>
  </si>
  <si>
    <t>LED</t>
  </si>
  <si>
    <t>LED_SMD:LED_0603_1608Metric</t>
  </si>
  <si>
    <t>D3</t>
  </si>
  <si>
    <t>DebugLED</t>
  </si>
  <si>
    <t>J1,J4</t>
  </si>
  <si>
    <t>Conn_Coaxial_Small</t>
  </si>
  <si>
    <t>Connector_Coaxial:U.FL_Hirose_U.FL-R-SMT-1_Vertical</t>
  </si>
  <si>
    <t>J2</t>
  </si>
  <si>
    <t>USB_C_Receptacle_USB2.0_16P</t>
  </si>
  <si>
    <t>Connector_USB:USB_C_Receptacle_GCT_USB4085</t>
  </si>
  <si>
    <t>L1</t>
  </si>
  <si>
    <t>Inductor_SMD:L_0805_2012Metric</t>
  </si>
  <si>
    <t>L2</t>
  </si>
  <si>
    <t>27nH</t>
  </si>
  <si>
    <t>Q2,Q4</t>
  </si>
  <si>
    <t>SS8050</t>
  </si>
  <si>
    <t>Package_TO_SOT_SMD:SOT-23</t>
  </si>
  <si>
    <t>http://www.secosgmbh.com/datasheet/products/SSMPTransistor/SOT-23/SS8050.pdf</t>
  </si>
  <si>
    <t>Q3</t>
  </si>
  <si>
    <t>AO3400A</t>
  </si>
  <si>
    <t>R1,R5,R24</t>
  </si>
  <si>
    <t>100k</t>
  </si>
  <si>
    <t>Resistor_SMD:R_0402_1005Metric</t>
  </si>
  <si>
    <t>R2,R3,R7,R13,R16,R17,R18,R19,R20</t>
  </si>
  <si>
    <t>10k</t>
  </si>
  <si>
    <t>R4</t>
  </si>
  <si>
    <t>450k</t>
  </si>
  <si>
    <t>R6</t>
  </si>
  <si>
    <t>499k</t>
  </si>
  <si>
    <t>R8</t>
  </si>
  <si>
    <t>1.18k</t>
  </si>
  <si>
    <t>R9</t>
  </si>
  <si>
    <t>1.13k</t>
  </si>
  <si>
    <t>R10</t>
  </si>
  <si>
    <t>4.12k</t>
  </si>
  <si>
    <t>R11,R12</t>
  </si>
  <si>
    <t>5.1k</t>
  </si>
  <si>
    <t>R14</t>
  </si>
  <si>
    <t>22.1k</t>
  </si>
  <si>
    <t>R15</t>
  </si>
  <si>
    <t>47.5k</t>
  </si>
  <si>
    <t>R21,R22</t>
  </si>
  <si>
    <t>22</t>
  </si>
  <si>
    <t>R23</t>
  </si>
  <si>
    <t>1k</t>
  </si>
  <si>
    <t>SW1</t>
  </si>
  <si>
    <t>SW_Push</t>
  </si>
  <si>
    <t>Button_Switch_SMD:SW_Push_1P1T_NO_CK_KMR2</t>
  </si>
  <si>
    <t>SW2</t>
  </si>
  <si>
    <t>SW_SPST</t>
  </si>
  <si>
    <t>Button_Switch_THT:SW_E-Switch_EG1271_SPDT</t>
  </si>
  <si>
    <t>U1</t>
  </si>
  <si>
    <t>ESP32-PICO-D4</t>
  </si>
  <si>
    <t>Package_DFN_QFN:QFN-48-1EP_7x7mm_P0.5mm_EP5.3x5.3mm</t>
  </si>
  <si>
    <t>https://www.espressif.com/sites/default/files/documentation/esp32-pico_series_datasheet_en.pdf</t>
  </si>
  <si>
    <t>U2</t>
  </si>
  <si>
    <t>RFM95W-915S2</t>
  </si>
  <si>
    <t>RF_Module:HOPERF_RFM9XW_SMD</t>
  </si>
  <si>
    <t>TPS62A01ADRL</t>
  </si>
  <si>
    <t>Package_TO_SOT_SMD:SOT-563</t>
  </si>
  <si>
    <t>U4</t>
  </si>
  <si>
    <t>BQ24074RGT</t>
  </si>
  <si>
    <t>Package_DFN_QFN:VQFN-16-1EP_3x3mm_P0.5mm_EP1.6x1.6mm</t>
  </si>
  <si>
    <t>U5</t>
  </si>
  <si>
    <t>TESEO-LIV3R</t>
  </si>
  <si>
    <t>Teseo:ARRAY_LIV3R_STM</t>
  </si>
  <si>
    <t>https://www.st.com/resource/en/datasheet/teseo-liv3r.pdf</t>
  </si>
  <si>
    <t>U6</t>
  </si>
  <si>
    <t>CP2102N-Axx-xQFN24</t>
  </si>
  <si>
    <t>Package_DFN_QFN:QFN-24-1EP_4x4mm_P0.5mm_EP2.6x2.6mm</t>
  </si>
  <si>
    <t>https://www.silabs.com/documents/public/data-sheets/cp2102n-datasheet.pdf</t>
  </si>
  <si>
    <t>U7</t>
  </si>
  <si>
    <t>USBLC6-2P6</t>
  </si>
  <si>
    <t>Package_TO_SOT_SMD:SOT-666</t>
  </si>
  <si>
    <t>Costo Unitario</t>
  </si>
  <si>
    <t>Total</t>
  </si>
  <si>
    <t>https://www.jst-mfg.com/product/pdf/eng/ePH.pdf</t>
  </si>
  <si>
    <t>https://mm.digikey.com/Volume0/opasdata/d220001/medias/docus/1231/LMK107BBJ106MALT_SS.pdf</t>
  </si>
  <si>
    <t>https://mm.digikey.com/Volume0/opasdata/d220001/medias/docus/609/CL10A475KP8NNNC_Spec.pdf</t>
  </si>
  <si>
    <t>https://mm.digikey.com/Volume0/opasdata/d220001/medias/docus/3584/CL10B105KP8NNNC_Spec.pdf</t>
  </si>
  <si>
    <t>https://mm.digikey.com/Volume0/opasdata/d220001/medias/docus/41/CL05A475KQ5NRNC_Spec.pdf</t>
  </si>
  <si>
    <t>https://www.yageogroup.com/content/datasheet/asset/file/KEM_C1015_X7R_FF-CAP_SMD</t>
  </si>
  <si>
    <t>https://mm.digikey.com/Volume0/opasdata/d220001/medias/docus/5784/CL21A226MQQNNNE.pdf</t>
  </si>
  <si>
    <t>https://www.yageogroup.com/content/datasheet/asset/file/KEM_C1007_X8R_ULTRA_150C_SMD</t>
  </si>
  <si>
    <t>https://www.yageogroup.com/content/datasheet/asset/file/KEM_C1030_CBR_SMD</t>
  </si>
  <si>
    <t>https://goodarksemi.com/docs/datasheets/transient_voltage_suppressors/SMBJx.pdf</t>
  </si>
  <si>
    <t>https://www.we-online.com/components/products/datasheet/150060VS55040.pdf</t>
  </si>
  <si>
    <t>https://www.we-online.com/components/products/datasheet/150060BS55040.pdf</t>
  </si>
  <si>
    <t>https://www.hirose.com/en/product/document?clcode=CL0331-0472-2-60&amp;productname=U.FL-R-SMT-1(60)&amp;series=U.FL&amp;documenttype=Catalog&amp;lang=en&amp;documentid=ed_U.FL_CAT</t>
  </si>
  <si>
    <t>https://gct.co/files/specs/usb4085-spec.pdf</t>
  </si>
  <si>
    <t>https://search.murata.co.jp/Ceramy/image/img/P02/JELF243B-0026.pdf</t>
  </si>
  <si>
    <t>https://product.tdk.com/en/system/files?file=dam/doc/product/inductor/inductor/smd/catalog/inductor_commercial_standard_mlf2012_en.pdf</t>
  </si>
  <si>
    <t>https://mm.digikey.com/Volume0/opasdata/d220001/medias/docus/2587/UMW%20AO3400A.pdf</t>
  </si>
  <si>
    <t>https://www.yageogroup.com/content/datasheet/asset/file/PYU-RC_GROUP_51_ROHS_L</t>
  </si>
  <si>
    <t>https://www.vishay.com/docs/28952/mcr0201at-mca1206at.pdf</t>
  </si>
  <si>
    <t>https://industrial.panasonic.com/cdbs/www-data/pdf/RDA0000/AOA0000C304.pdf</t>
  </si>
  <si>
    <t>https://www.te.com/commerce/DocumentDelivery/DDEController?Action=srchrtrv&amp;DocNm=1773200&amp;DocType=Data%20Sheet&amp;DocLang=English&amp;DocFormat=pdf&amp;PartCntxt=1879061-3</t>
  </si>
  <si>
    <t>https://industrial.panasonic.com/cdbs/www-data/pdf/RDM0000/AOA0000C307.pdf</t>
  </si>
  <si>
    <t>https://www.vishay.com/docs/28773/crcwce3.pdf</t>
  </si>
  <si>
    <t>https://www.ckswitches.com/media/1479/kmr2.pdf</t>
  </si>
  <si>
    <t>https://configured-product-images.s3.amazonaws.com/Datasheets/EG.pdf</t>
  </si>
  <si>
    <t>https://www.rfsolutions.co.uk/downloads/1463993415RFM95_96_97_98W.pdf</t>
  </si>
  <si>
    <t>https://www.ti.com/lit/ds/symlink/tps62a01.pdf?ts=1651767199227&amp;ref_url=https%253A%252F%252Fwww.ti.com%252Fsitesearch%252Fen-us%252Fdocs%252Funiversalsearch.tsp%253FlangPref%253Den-US%2526searchTerm%253DTPS62A01DRLR%2526nr%253D7</t>
  </si>
  <si>
    <t>https://www.ti.com/general/docs/suppproductinfo.tsp?distId=10&amp;gotoUrl=https%3A%2F%2Fwww.ti.com%2Flit%2Fgpn%2Fbq24075</t>
  </si>
  <si>
    <t>https://www.st.com/content/ccc/resource/technical/document/datasheet/06/1d/48/9c/6c/20/4a/b2/CD00050750.pdf/files/CD00050750.pdf/jcr:content/translations/en.CD00050750.pdf</t>
  </si>
  <si>
    <t>Cantidad de PCB</t>
  </si>
  <si>
    <t>Molex 206640-0001</t>
  </si>
  <si>
    <t>N/A</t>
  </si>
  <si>
    <t>https://www.te.com/commerce/DocumentDelivery/DDEController?Action=srchrtrv&amp;DocNm=ANT-GNCP-C185L160&amp;DocType=Data+Sheet&amp;DocLang=English&amp;DocFormat=pdf&amp;PartCntxt=ANT-GNCP-C185L160</t>
  </si>
  <si>
    <t>ANT-916-PW-QW-UFL</t>
  </si>
  <si>
    <t>https://www.te.com/commerce/DocumentDelivery/DDEController?Action=srchrtrv&amp;DocNm=ANT-916-PW-QW-xxx&amp;DocType=Data+Sheet&amp;DocLang=English&amp;DocFormat=pdf&amp;PartCntxt=ANT-916-PW-QW-UFL</t>
  </si>
  <si>
    <t>https://components101.com/sites/default/files/component_datasheet/JSN-SR04-Datasheet.pdf</t>
  </si>
  <si>
    <t>JSN SR-04T</t>
  </si>
  <si>
    <t>https://cdn-shop.adafruit.com/product-files/1781/C2253_-_ICR18650_2200mAh_3.7V_with_PCM_20140728_APPROVED_8.18.pdf</t>
  </si>
  <si>
    <t>BATTERY LITH-ION 3.7V 2.2AH 1865</t>
  </si>
  <si>
    <t>https://www.keyelco.com/userAssets/file/M65p2.pdf</t>
  </si>
  <si>
    <t>BATTERY HOLDER COIN 12.5MM SMD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</si>
</sst>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NumberFormat="1"/>
  </cellXfs>
  <cellStyles count="2">
    <cellStyle name="Hipervínculo" xfId="1" builtinId="8"/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0B99ADD-1430-4143-A26F-28773D72BF9D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Reference" tableColumnId="1"/>
      <queryTableField id="2" name="Qty" tableColumnId="2"/>
      <queryTableField id="3" name="Value" tableColumnId="3"/>
      <queryTableField id="4" name="DNP" tableColumnId="4"/>
      <queryTableField id="5" name="Exclude from BOM" tableColumnId="5"/>
      <queryTableField id="6" name="Exclude from Board" tableColumnId="6"/>
      <queryTableField id="7" name="Footprint" tableColumnId="7"/>
      <queryTableField id="8" name="Datasheet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513BF-BB9D-49D0-A07B-63B98DCE6556}" name="PCB_LoRa_GPS" displayName="PCB_LoRa_GPS" ref="A1:J47" tableType="queryTable" totalsRowShown="0">
  <autoFilter ref="A1:J47" xr:uid="{A98513BF-BB9D-49D0-A07B-63B98DCE6556}"/>
  <tableColumns count="10">
    <tableColumn id="1" xr3:uid="{AFCB85EE-B50F-4038-95D2-D82EC00F85B9}" uniqueName="1" name="Reference" queryTableFieldId="1" dataDxfId="8"/>
    <tableColumn id="2" xr3:uid="{84B9103B-3231-4E4D-92AE-DB41B822FB95}" uniqueName="2" name="Qty" queryTableFieldId="2"/>
    <tableColumn id="3" xr3:uid="{1BF96772-6187-40C1-82B6-572CB7C2E316}" uniqueName="3" name="Value" queryTableFieldId="3" dataDxfId="7"/>
    <tableColumn id="4" xr3:uid="{D98CF138-41C6-45AB-A8AC-A0D3A726F452}" uniqueName="4" name="DNP" queryTableFieldId="4" dataDxfId="6"/>
    <tableColumn id="5" xr3:uid="{A191850E-BB36-4657-8921-575A8BB66492}" uniqueName="5" name="Exclude from BOM" queryTableFieldId="5" dataDxfId="5"/>
    <tableColumn id="6" xr3:uid="{F99C0A95-F40B-45C7-B8C5-57A5BCB85896}" uniqueName="6" name="Exclude from Board" queryTableFieldId="6" dataDxfId="4"/>
    <tableColumn id="7" xr3:uid="{BE0D0E7F-6002-420B-9C7A-B51D1625E6E0}" uniqueName="7" name="Footprint" queryTableFieldId="7" dataDxfId="3"/>
    <tableColumn id="8" xr3:uid="{D868AD59-898D-4DAD-BC18-6F4FEEFA8710}" uniqueName="8" name="Datasheet" queryTableFieldId="8" dataDxfId="2"/>
    <tableColumn id="9" xr3:uid="{8CD14A02-D0BD-445B-9395-9F50A28ADD6B}" uniqueName="9" name="Costo Unitario" queryTableFieldId="9" dataDxfId="1"/>
    <tableColumn id="10" xr3:uid="{61ADDE92-485A-4208-BC93-1C406D95651D}" uniqueName="10" name="Total" queryTableFieldId="10" dataDxfId="0">
      <calculatedColumnFormula>PCB_LoRa_GPS[[#This Row],[Costo Unitario]]*PCB_LoRa_GPS[[#This Row],[Qty]]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3A98E-1F3B-4D54-980D-855653EC0C54}" name="Tabla2" displayName="Tabla2" ref="A1:C2" totalsRowShown="0">
  <autoFilter ref="A1:C2" xr:uid="{AAF3A98E-1F3B-4D54-980D-855653EC0C54}"/>
  <tableColumns count="3">
    <tableColumn id="1" xr3:uid="{1B96EF47-8F94-4AB6-B391-5DEDC9CA14D0}" name="Cantidad de PCB"/>
    <tableColumn id="2" xr3:uid="{056BCA2D-0155-47DF-AEF5-EA1400ECCE86}" name="Costo Unitario">
      <calculatedColumnFormula>SUM(PCB_LoRa_GPS[Total])</calculatedColumnFormula>
    </tableColumn>
    <tableColumn id="3" xr3:uid="{14E6FC23-A403-4379-A96F-BAD4186453E5}" name="Total">
      <calculatedColumnFormula>A2*B2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rfsolutions.co.uk/downloads/1463993415RFM95_96_97_98W.pdf" TargetMode="External"/><Relationship Id="rId1" Type="http://schemas.openxmlformats.org/officeDocument/2006/relationships/hyperlink" Target="http://www.secosgmbh.com/datasheet/products/SSMPTransistor/SOT-23/SS805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539B-E9FD-472E-9D62-5ED8956392EC}">
  <dimension ref="A1:J47"/>
  <sheetViews>
    <sheetView tabSelected="1" topLeftCell="A19" workbookViewId="0">
      <selection activeCell="I48" sqref="I48"/>
    </sheetView>
  </sheetViews>
  <sheetFormatPr baseColWidth="10" defaultRowHeight="15" x14ac:dyDescent="0.25"/>
  <cols>
    <col min="1" max="1" width="30.7109375" bestFit="1" customWidth="1"/>
    <col min="2" max="2" width="6.140625" bestFit="1" customWidth="1"/>
    <col min="3" max="3" width="27.140625" bestFit="1" customWidth="1"/>
    <col min="4" max="4" width="6.85546875" hidden="1" customWidth="1"/>
    <col min="5" max="5" width="18.28515625" hidden="1" customWidth="1"/>
    <col min="6" max="6" width="19.28515625" hidden="1" customWidth="1"/>
    <col min="7" max="7" width="55.42578125" bestFit="1" customWidth="1"/>
    <col min="8" max="8" width="8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113</v>
      </c>
      <c r="J1" t="s">
        <v>114</v>
      </c>
    </row>
    <row r="2" spans="1:10" x14ac:dyDescent="0.25">
      <c r="A2" t="s">
        <v>8</v>
      </c>
      <c r="B2">
        <v>1</v>
      </c>
      <c r="C2" t="s">
        <v>9</v>
      </c>
      <c r="D2" t="s">
        <v>10</v>
      </c>
      <c r="E2" t="s">
        <v>10</v>
      </c>
      <c r="F2" t="s">
        <v>10</v>
      </c>
      <c r="G2" t="s">
        <v>11</v>
      </c>
      <c r="H2" t="s">
        <v>10</v>
      </c>
      <c r="I2">
        <v>0.48</v>
      </c>
      <c r="J2">
        <f>PCB_LoRa_GPS[[#This Row],[Costo Unitario]]*PCB_LoRa_GPS[[#This Row],[Qty]]</f>
        <v>0.48</v>
      </c>
    </row>
    <row r="3" spans="1:10" x14ac:dyDescent="0.25">
      <c r="A3" t="s">
        <v>12</v>
      </c>
      <c r="B3">
        <v>1</v>
      </c>
      <c r="C3" t="s">
        <v>13</v>
      </c>
      <c r="D3" t="s">
        <v>10</v>
      </c>
      <c r="E3" t="s">
        <v>10</v>
      </c>
      <c r="F3" t="s">
        <v>10</v>
      </c>
      <c r="G3" t="s">
        <v>14</v>
      </c>
      <c r="H3" t="s">
        <v>115</v>
      </c>
      <c r="I3">
        <v>0.1</v>
      </c>
      <c r="J3">
        <f>PCB_LoRa_GPS[[#This Row],[Costo Unitario]]*PCB_LoRa_GPS[[#This Row],[Qty]]</f>
        <v>0.1</v>
      </c>
    </row>
    <row r="4" spans="1:10" x14ac:dyDescent="0.25">
      <c r="A4" t="s">
        <v>15</v>
      </c>
      <c r="B4">
        <v>3</v>
      </c>
      <c r="C4" t="s">
        <v>16</v>
      </c>
      <c r="D4" t="s">
        <v>10</v>
      </c>
      <c r="E4" t="s">
        <v>10</v>
      </c>
      <c r="F4" t="s">
        <v>10</v>
      </c>
      <c r="G4" t="s">
        <v>17</v>
      </c>
      <c r="H4" s="1" t="s">
        <v>116</v>
      </c>
      <c r="I4">
        <v>0.08</v>
      </c>
      <c r="J4">
        <f>PCB_LoRa_GPS[[#This Row],[Costo Unitario]]*PCB_LoRa_GPS[[#This Row],[Qty]]</f>
        <v>0.24</v>
      </c>
    </row>
    <row r="5" spans="1:10" x14ac:dyDescent="0.25">
      <c r="A5" t="s">
        <v>18</v>
      </c>
      <c r="B5">
        <v>5</v>
      </c>
      <c r="C5" t="s">
        <v>19</v>
      </c>
      <c r="D5" t="s">
        <v>10</v>
      </c>
      <c r="E5" t="s">
        <v>10</v>
      </c>
      <c r="F5" t="s">
        <v>10</v>
      </c>
      <c r="G5" t="s">
        <v>20</v>
      </c>
      <c r="H5" t="s">
        <v>123</v>
      </c>
      <c r="I5">
        <v>0.2</v>
      </c>
      <c r="J5">
        <f>PCB_LoRa_GPS[[#This Row],[Costo Unitario]]*PCB_LoRa_GPS[[#This Row],[Qty]]</f>
        <v>1</v>
      </c>
    </row>
    <row r="6" spans="1:10" x14ac:dyDescent="0.25">
      <c r="A6" t="s">
        <v>21</v>
      </c>
      <c r="B6">
        <v>1</v>
      </c>
      <c r="C6" t="s">
        <v>22</v>
      </c>
      <c r="D6" t="s">
        <v>10</v>
      </c>
      <c r="E6" t="s">
        <v>10</v>
      </c>
      <c r="F6" t="s">
        <v>10</v>
      </c>
      <c r="G6" t="s">
        <v>17</v>
      </c>
      <c r="H6" s="1" t="s">
        <v>117</v>
      </c>
      <c r="I6">
        <v>0.08</v>
      </c>
      <c r="J6">
        <f>PCB_LoRa_GPS[[#This Row],[Costo Unitario]]*PCB_LoRa_GPS[[#This Row],[Qty]]</f>
        <v>0.08</v>
      </c>
    </row>
    <row r="7" spans="1:10" x14ac:dyDescent="0.25">
      <c r="A7" t="s">
        <v>23</v>
      </c>
      <c r="B7">
        <v>1</v>
      </c>
      <c r="C7" t="s">
        <v>24</v>
      </c>
      <c r="D7" t="s">
        <v>10</v>
      </c>
      <c r="E7" t="s">
        <v>10</v>
      </c>
      <c r="F7" t="s">
        <v>10</v>
      </c>
      <c r="G7" t="s">
        <v>25</v>
      </c>
      <c r="H7" t="s">
        <v>121</v>
      </c>
      <c r="I7">
        <v>0.12</v>
      </c>
      <c r="J7">
        <f>PCB_LoRa_GPS[[#This Row],[Costo Unitario]]*PCB_LoRa_GPS[[#This Row],[Qty]]</f>
        <v>0.12</v>
      </c>
    </row>
    <row r="8" spans="1:10" x14ac:dyDescent="0.25">
      <c r="A8" t="s">
        <v>26</v>
      </c>
      <c r="B8">
        <v>1</v>
      </c>
      <c r="C8" t="s">
        <v>27</v>
      </c>
      <c r="D8" t="s">
        <v>10</v>
      </c>
      <c r="E8" t="s">
        <v>10</v>
      </c>
      <c r="F8" t="s">
        <v>10</v>
      </c>
      <c r="G8" t="s">
        <v>20</v>
      </c>
      <c r="H8" s="1" t="s">
        <v>118</v>
      </c>
      <c r="I8">
        <v>0.1</v>
      </c>
      <c r="J8">
        <f>PCB_LoRa_GPS[[#This Row],[Costo Unitario]]*PCB_LoRa_GPS[[#This Row],[Qty]]</f>
        <v>0.1</v>
      </c>
    </row>
    <row r="9" spans="1:10" x14ac:dyDescent="0.25">
      <c r="A9" t="s">
        <v>28</v>
      </c>
      <c r="B9">
        <v>1</v>
      </c>
      <c r="C9" t="s">
        <v>22</v>
      </c>
      <c r="D9" t="s">
        <v>10</v>
      </c>
      <c r="E9" t="s">
        <v>10</v>
      </c>
      <c r="F9" t="s">
        <v>10</v>
      </c>
      <c r="G9" t="s">
        <v>20</v>
      </c>
      <c r="H9" t="s">
        <v>119</v>
      </c>
      <c r="I9">
        <v>0.08</v>
      </c>
      <c r="J9">
        <f>PCB_LoRa_GPS[[#This Row],[Costo Unitario]]*PCB_LoRa_GPS[[#This Row],[Qty]]</f>
        <v>0.08</v>
      </c>
    </row>
    <row r="10" spans="1:10" x14ac:dyDescent="0.25">
      <c r="A10" t="s">
        <v>29</v>
      </c>
      <c r="B10">
        <v>3</v>
      </c>
      <c r="C10" t="s">
        <v>30</v>
      </c>
      <c r="D10" t="s">
        <v>10</v>
      </c>
      <c r="E10" t="s">
        <v>10</v>
      </c>
      <c r="F10" t="s">
        <v>10</v>
      </c>
      <c r="G10" t="s">
        <v>20</v>
      </c>
      <c r="H10" t="s">
        <v>123</v>
      </c>
      <c r="I10">
        <v>0.14000000000000001</v>
      </c>
      <c r="J10">
        <f>PCB_LoRa_GPS[[#This Row],[Costo Unitario]]*PCB_LoRa_GPS[[#This Row],[Qty]]</f>
        <v>0.42000000000000004</v>
      </c>
    </row>
    <row r="11" spans="1:10" x14ac:dyDescent="0.25">
      <c r="A11" t="s">
        <v>31</v>
      </c>
      <c r="B11">
        <v>1</v>
      </c>
      <c r="C11" t="s">
        <v>32</v>
      </c>
      <c r="D11" t="s">
        <v>10</v>
      </c>
      <c r="E11" t="s">
        <v>10</v>
      </c>
      <c r="F11" t="s">
        <v>10</v>
      </c>
      <c r="G11" t="s">
        <v>25</v>
      </c>
      <c r="H11" t="s">
        <v>120</v>
      </c>
      <c r="I11">
        <v>0.37</v>
      </c>
      <c r="J11">
        <f>PCB_LoRa_GPS[[#This Row],[Costo Unitario]]*PCB_LoRa_GPS[[#This Row],[Qty]]</f>
        <v>0.37</v>
      </c>
    </row>
    <row r="12" spans="1:10" x14ac:dyDescent="0.25">
      <c r="A12" t="s">
        <v>33</v>
      </c>
      <c r="B12">
        <v>4</v>
      </c>
      <c r="C12" t="s">
        <v>34</v>
      </c>
      <c r="D12" t="s">
        <v>10</v>
      </c>
      <c r="E12" t="s">
        <v>10</v>
      </c>
      <c r="F12" t="s">
        <v>10</v>
      </c>
      <c r="G12" t="s">
        <v>17</v>
      </c>
      <c r="H12" t="s">
        <v>122</v>
      </c>
      <c r="I12">
        <v>0.1</v>
      </c>
      <c r="J12">
        <f>PCB_LoRa_GPS[[#This Row],[Costo Unitario]]*PCB_LoRa_GPS[[#This Row],[Qty]]</f>
        <v>0.4</v>
      </c>
    </row>
    <row r="13" spans="1:10" x14ac:dyDescent="0.25">
      <c r="A13" t="s">
        <v>35</v>
      </c>
      <c r="B13">
        <v>1</v>
      </c>
      <c r="C13" t="s">
        <v>36</v>
      </c>
      <c r="D13" t="s">
        <v>10</v>
      </c>
      <c r="E13" t="s">
        <v>10</v>
      </c>
      <c r="F13" t="s">
        <v>10</v>
      </c>
      <c r="G13" t="s">
        <v>37</v>
      </c>
      <c r="H13" t="s">
        <v>124</v>
      </c>
      <c r="I13">
        <v>0.3</v>
      </c>
      <c r="J13">
        <f>PCB_LoRa_GPS[[#This Row],[Costo Unitario]]*PCB_LoRa_GPS[[#This Row],[Qty]]</f>
        <v>0.3</v>
      </c>
    </row>
    <row r="14" spans="1:10" x14ac:dyDescent="0.25">
      <c r="A14" t="s">
        <v>38</v>
      </c>
      <c r="B14">
        <v>2</v>
      </c>
      <c r="C14" t="s">
        <v>39</v>
      </c>
      <c r="D14" t="s">
        <v>10</v>
      </c>
      <c r="E14" t="s">
        <v>10</v>
      </c>
      <c r="F14" t="s">
        <v>10</v>
      </c>
      <c r="G14" t="s">
        <v>40</v>
      </c>
      <c r="H14" t="s">
        <v>125</v>
      </c>
      <c r="I14">
        <v>0.19</v>
      </c>
      <c r="J14">
        <f>PCB_LoRa_GPS[[#This Row],[Costo Unitario]]*PCB_LoRa_GPS[[#This Row],[Qty]]</f>
        <v>0.38</v>
      </c>
    </row>
    <row r="15" spans="1:10" x14ac:dyDescent="0.25">
      <c r="A15" t="s">
        <v>41</v>
      </c>
      <c r="B15">
        <v>1</v>
      </c>
      <c r="C15" t="s">
        <v>42</v>
      </c>
      <c r="D15" t="s">
        <v>10</v>
      </c>
      <c r="E15" t="s">
        <v>10</v>
      </c>
      <c r="F15" t="s">
        <v>10</v>
      </c>
      <c r="G15" t="s">
        <v>40</v>
      </c>
      <c r="H15" t="s">
        <v>126</v>
      </c>
      <c r="I15">
        <v>0.19</v>
      </c>
      <c r="J15">
        <f>PCB_LoRa_GPS[[#This Row],[Costo Unitario]]*PCB_LoRa_GPS[[#This Row],[Qty]]</f>
        <v>0.19</v>
      </c>
    </row>
    <row r="16" spans="1:10" x14ac:dyDescent="0.25">
      <c r="A16" t="s">
        <v>43</v>
      </c>
      <c r="B16">
        <v>2</v>
      </c>
      <c r="C16" t="s">
        <v>44</v>
      </c>
      <c r="D16" t="s">
        <v>10</v>
      </c>
      <c r="E16" t="s">
        <v>10</v>
      </c>
      <c r="F16" t="s">
        <v>10</v>
      </c>
      <c r="G16" t="s">
        <v>45</v>
      </c>
      <c r="H16" t="s">
        <v>127</v>
      </c>
      <c r="I16">
        <v>1.1299999999999999</v>
      </c>
      <c r="J16">
        <f>PCB_LoRa_GPS[[#This Row],[Costo Unitario]]*PCB_LoRa_GPS[[#This Row],[Qty]]</f>
        <v>2.2599999999999998</v>
      </c>
    </row>
    <row r="17" spans="1:10" x14ac:dyDescent="0.25">
      <c r="A17" t="s">
        <v>46</v>
      </c>
      <c r="B17">
        <v>1</v>
      </c>
      <c r="C17" t="s">
        <v>47</v>
      </c>
      <c r="D17" t="s">
        <v>10</v>
      </c>
      <c r="E17" t="s">
        <v>10</v>
      </c>
      <c r="F17" t="s">
        <v>10</v>
      </c>
      <c r="G17" t="s">
        <v>48</v>
      </c>
      <c r="H17" t="s">
        <v>128</v>
      </c>
      <c r="I17">
        <v>0.88</v>
      </c>
      <c r="J17">
        <f>PCB_LoRa_GPS[[#This Row],[Costo Unitario]]*PCB_LoRa_GPS[[#This Row],[Qty]]</f>
        <v>0.88</v>
      </c>
    </row>
    <row r="18" spans="1:10" x14ac:dyDescent="0.25">
      <c r="A18" t="s">
        <v>49</v>
      </c>
      <c r="B18">
        <v>1</v>
      </c>
      <c r="C18" t="s">
        <v>27</v>
      </c>
      <c r="D18" t="s">
        <v>10</v>
      </c>
      <c r="E18" t="s">
        <v>10</v>
      </c>
      <c r="F18" t="s">
        <v>10</v>
      </c>
      <c r="G18" t="s">
        <v>50</v>
      </c>
      <c r="H18" t="s">
        <v>129</v>
      </c>
      <c r="I18">
        <v>0.17</v>
      </c>
      <c r="J18">
        <f>PCB_LoRa_GPS[[#This Row],[Costo Unitario]]*PCB_LoRa_GPS[[#This Row],[Qty]]</f>
        <v>0.17</v>
      </c>
    </row>
    <row r="19" spans="1:10" x14ac:dyDescent="0.25">
      <c r="A19" t="s">
        <v>51</v>
      </c>
      <c r="B19">
        <v>1</v>
      </c>
      <c r="C19" t="s">
        <v>52</v>
      </c>
      <c r="D19" t="s">
        <v>10</v>
      </c>
      <c r="E19" t="s">
        <v>10</v>
      </c>
      <c r="F19" t="s">
        <v>10</v>
      </c>
      <c r="G19" t="s">
        <v>50</v>
      </c>
      <c r="H19" t="s">
        <v>130</v>
      </c>
      <c r="I19">
        <v>0.12</v>
      </c>
      <c r="J19">
        <f>PCB_LoRa_GPS[[#This Row],[Costo Unitario]]*PCB_LoRa_GPS[[#This Row],[Qty]]</f>
        <v>0.12</v>
      </c>
    </row>
    <row r="20" spans="1:10" x14ac:dyDescent="0.25">
      <c r="A20" t="s">
        <v>53</v>
      </c>
      <c r="B20">
        <v>2</v>
      </c>
      <c r="C20" t="s">
        <v>54</v>
      </c>
      <c r="D20" t="s">
        <v>10</v>
      </c>
      <c r="E20" t="s">
        <v>10</v>
      </c>
      <c r="F20" t="s">
        <v>10</v>
      </c>
      <c r="G20" t="s">
        <v>55</v>
      </c>
      <c r="H20" s="1" t="s">
        <v>56</v>
      </c>
      <c r="I20">
        <v>0.1</v>
      </c>
      <c r="J20">
        <f>PCB_LoRa_GPS[[#This Row],[Costo Unitario]]*PCB_LoRa_GPS[[#This Row],[Qty]]</f>
        <v>0.2</v>
      </c>
    </row>
    <row r="21" spans="1:10" x14ac:dyDescent="0.25">
      <c r="A21" t="s">
        <v>57</v>
      </c>
      <c r="B21">
        <v>1</v>
      </c>
      <c r="C21" t="s">
        <v>58</v>
      </c>
      <c r="D21" t="s">
        <v>10</v>
      </c>
      <c r="E21" t="s">
        <v>10</v>
      </c>
      <c r="F21" t="s">
        <v>10</v>
      </c>
      <c r="G21" t="s">
        <v>55</v>
      </c>
      <c r="H21" s="1" t="s">
        <v>131</v>
      </c>
      <c r="I21">
        <v>0.18</v>
      </c>
      <c r="J21">
        <f>PCB_LoRa_GPS[[#This Row],[Costo Unitario]]*PCB_LoRa_GPS[[#This Row],[Qty]]</f>
        <v>0.18</v>
      </c>
    </row>
    <row r="22" spans="1:10" x14ac:dyDescent="0.25">
      <c r="A22" t="s">
        <v>59</v>
      </c>
      <c r="B22">
        <v>3</v>
      </c>
      <c r="C22" t="s">
        <v>60</v>
      </c>
      <c r="D22" t="s">
        <v>10</v>
      </c>
      <c r="E22" t="s">
        <v>10</v>
      </c>
      <c r="F22" t="s">
        <v>10</v>
      </c>
      <c r="G22" t="s">
        <v>61</v>
      </c>
      <c r="H22" t="s">
        <v>132</v>
      </c>
      <c r="I22">
        <v>0.1</v>
      </c>
      <c r="J22">
        <f>PCB_LoRa_GPS[[#This Row],[Costo Unitario]]*PCB_LoRa_GPS[[#This Row],[Qty]]</f>
        <v>0.30000000000000004</v>
      </c>
    </row>
    <row r="23" spans="1:10" x14ac:dyDescent="0.25">
      <c r="A23" t="s">
        <v>62</v>
      </c>
      <c r="B23">
        <v>10</v>
      </c>
      <c r="C23" t="s">
        <v>63</v>
      </c>
      <c r="D23" t="s">
        <v>10</v>
      </c>
      <c r="E23" t="s">
        <v>10</v>
      </c>
      <c r="F23" t="s">
        <v>10</v>
      </c>
      <c r="G23" t="s">
        <v>61</v>
      </c>
      <c r="H23" t="s">
        <v>132</v>
      </c>
      <c r="I23">
        <v>0.1</v>
      </c>
      <c r="J23">
        <f>PCB_LoRa_GPS[[#This Row],[Costo Unitario]]*PCB_LoRa_GPS[[#This Row],[Qty]]</f>
        <v>1</v>
      </c>
    </row>
    <row r="24" spans="1:10" x14ac:dyDescent="0.25">
      <c r="A24" t="s">
        <v>64</v>
      </c>
      <c r="B24">
        <v>1</v>
      </c>
      <c r="C24" t="s">
        <v>65</v>
      </c>
      <c r="D24" t="s">
        <v>10</v>
      </c>
      <c r="E24" t="s">
        <v>10</v>
      </c>
      <c r="F24" t="s">
        <v>10</v>
      </c>
      <c r="G24" t="s">
        <v>61</v>
      </c>
      <c r="H24" t="s">
        <v>132</v>
      </c>
      <c r="I24">
        <v>0.1</v>
      </c>
      <c r="J24">
        <f>PCB_LoRa_GPS[[#This Row],[Costo Unitario]]*PCB_LoRa_GPS[[#This Row],[Qty]]</f>
        <v>0.1</v>
      </c>
    </row>
    <row r="25" spans="1:10" x14ac:dyDescent="0.25">
      <c r="A25" t="s">
        <v>66</v>
      </c>
      <c r="B25">
        <v>1</v>
      </c>
      <c r="C25" t="s">
        <v>67</v>
      </c>
      <c r="D25" t="s">
        <v>10</v>
      </c>
      <c r="E25" t="s">
        <v>10</v>
      </c>
      <c r="F25" t="s">
        <v>10</v>
      </c>
      <c r="G25" t="s">
        <v>61</v>
      </c>
      <c r="H25" t="s">
        <v>133</v>
      </c>
      <c r="I25">
        <v>0.2</v>
      </c>
      <c r="J25">
        <f>PCB_LoRa_GPS[[#This Row],[Costo Unitario]]*PCB_LoRa_GPS[[#This Row],[Qty]]</f>
        <v>0.2</v>
      </c>
    </row>
    <row r="26" spans="1:10" x14ac:dyDescent="0.25">
      <c r="A26" t="s">
        <v>68</v>
      </c>
      <c r="B26">
        <v>1</v>
      </c>
      <c r="C26" t="s">
        <v>69</v>
      </c>
      <c r="D26" t="s">
        <v>10</v>
      </c>
      <c r="E26" t="s">
        <v>10</v>
      </c>
      <c r="F26" t="s">
        <v>10</v>
      </c>
      <c r="G26" t="s">
        <v>61</v>
      </c>
      <c r="H26" t="s">
        <v>134</v>
      </c>
      <c r="I26">
        <v>0.1</v>
      </c>
      <c r="J26">
        <f>PCB_LoRa_GPS[[#This Row],[Costo Unitario]]*PCB_LoRa_GPS[[#This Row],[Qty]]</f>
        <v>0.1</v>
      </c>
    </row>
    <row r="27" spans="1:10" x14ac:dyDescent="0.25">
      <c r="A27" t="s">
        <v>70</v>
      </c>
      <c r="B27">
        <v>1</v>
      </c>
      <c r="C27" t="s">
        <v>71</v>
      </c>
      <c r="D27" t="s">
        <v>10</v>
      </c>
      <c r="E27" t="s">
        <v>10</v>
      </c>
      <c r="F27" t="s">
        <v>10</v>
      </c>
      <c r="G27" t="s">
        <v>61</v>
      </c>
      <c r="H27" t="s">
        <v>134</v>
      </c>
      <c r="I27">
        <v>0.1</v>
      </c>
      <c r="J27">
        <f>PCB_LoRa_GPS[[#This Row],[Costo Unitario]]*PCB_LoRa_GPS[[#This Row],[Qty]]</f>
        <v>0.1</v>
      </c>
    </row>
    <row r="28" spans="1:10" x14ac:dyDescent="0.25">
      <c r="A28" t="s">
        <v>72</v>
      </c>
      <c r="B28">
        <v>1</v>
      </c>
      <c r="C28" t="s">
        <v>73</v>
      </c>
      <c r="D28" t="s">
        <v>10</v>
      </c>
      <c r="E28" t="s">
        <v>10</v>
      </c>
      <c r="F28" t="s">
        <v>10</v>
      </c>
      <c r="G28" t="s">
        <v>61</v>
      </c>
      <c r="H28" t="s">
        <v>135</v>
      </c>
      <c r="I28">
        <v>0.23</v>
      </c>
      <c r="J28">
        <f>PCB_LoRa_GPS[[#This Row],[Costo Unitario]]*PCB_LoRa_GPS[[#This Row],[Qty]]</f>
        <v>0.23</v>
      </c>
    </row>
    <row r="29" spans="1:10" x14ac:dyDescent="0.25">
      <c r="A29" t="s">
        <v>74</v>
      </c>
      <c r="B29">
        <v>2</v>
      </c>
      <c r="C29" t="s">
        <v>75</v>
      </c>
      <c r="D29" t="s">
        <v>10</v>
      </c>
      <c r="E29" t="s">
        <v>10</v>
      </c>
      <c r="F29" t="s">
        <v>10</v>
      </c>
      <c r="G29" t="s">
        <v>61</v>
      </c>
      <c r="H29" t="s">
        <v>136</v>
      </c>
      <c r="I29">
        <v>0.1</v>
      </c>
      <c r="J29">
        <f>PCB_LoRa_GPS[[#This Row],[Costo Unitario]]*PCB_LoRa_GPS[[#This Row],[Qty]]</f>
        <v>0.2</v>
      </c>
    </row>
    <row r="30" spans="1:10" x14ac:dyDescent="0.25">
      <c r="A30" t="s">
        <v>76</v>
      </c>
      <c r="B30">
        <v>1</v>
      </c>
      <c r="C30" t="s">
        <v>77</v>
      </c>
      <c r="D30" t="s">
        <v>10</v>
      </c>
      <c r="E30" t="s">
        <v>10</v>
      </c>
      <c r="F30" t="s">
        <v>10</v>
      </c>
      <c r="G30" t="s">
        <v>61</v>
      </c>
      <c r="H30" t="s">
        <v>137</v>
      </c>
      <c r="I30">
        <v>0.1</v>
      </c>
      <c r="J30">
        <f>PCB_LoRa_GPS[[#This Row],[Costo Unitario]]*PCB_LoRa_GPS[[#This Row],[Qty]]</f>
        <v>0.1</v>
      </c>
    </row>
    <row r="31" spans="1:10" x14ac:dyDescent="0.25">
      <c r="A31" t="s">
        <v>78</v>
      </c>
      <c r="B31">
        <v>1</v>
      </c>
      <c r="C31" t="s">
        <v>79</v>
      </c>
      <c r="D31" t="s">
        <v>10</v>
      </c>
      <c r="E31" t="s">
        <v>10</v>
      </c>
      <c r="F31" t="s">
        <v>10</v>
      </c>
      <c r="G31" t="s">
        <v>61</v>
      </c>
      <c r="H31" t="s">
        <v>132</v>
      </c>
      <c r="I31">
        <v>0.1</v>
      </c>
      <c r="J31">
        <f>PCB_LoRa_GPS[[#This Row],[Costo Unitario]]*PCB_LoRa_GPS[[#This Row],[Qty]]</f>
        <v>0.1</v>
      </c>
    </row>
    <row r="32" spans="1:10" x14ac:dyDescent="0.25">
      <c r="A32" t="s">
        <v>80</v>
      </c>
      <c r="B32">
        <v>2</v>
      </c>
      <c r="C32" t="s">
        <v>81</v>
      </c>
      <c r="D32" t="s">
        <v>10</v>
      </c>
      <c r="E32" t="s">
        <v>10</v>
      </c>
      <c r="F32" t="s">
        <v>10</v>
      </c>
      <c r="G32" t="s">
        <v>61</v>
      </c>
      <c r="H32" t="s">
        <v>132</v>
      </c>
      <c r="I32">
        <v>0.1</v>
      </c>
      <c r="J32">
        <f>PCB_LoRa_GPS[[#This Row],[Costo Unitario]]*PCB_LoRa_GPS[[#This Row],[Qty]]</f>
        <v>0.2</v>
      </c>
    </row>
    <row r="33" spans="1:10" x14ac:dyDescent="0.25">
      <c r="A33" t="s">
        <v>82</v>
      </c>
      <c r="B33">
        <v>1</v>
      </c>
      <c r="C33" t="s">
        <v>83</v>
      </c>
      <c r="D33" t="s">
        <v>10</v>
      </c>
      <c r="E33" t="s">
        <v>10</v>
      </c>
      <c r="F33" t="s">
        <v>10</v>
      </c>
      <c r="G33" t="s">
        <v>61</v>
      </c>
      <c r="H33" t="s">
        <v>132</v>
      </c>
      <c r="I33">
        <v>0.1</v>
      </c>
      <c r="J33">
        <f>PCB_LoRa_GPS[[#This Row],[Costo Unitario]]*PCB_LoRa_GPS[[#This Row],[Qty]]</f>
        <v>0.1</v>
      </c>
    </row>
    <row r="34" spans="1:10" x14ac:dyDescent="0.25">
      <c r="A34" t="s">
        <v>84</v>
      </c>
      <c r="B34">
        <v>1</v>
      </c>
      <c r="C34" t="s">
        <v>85</v>
      </c>
      <c r="D34" t="s">
        <v>10</v>
      </c>
      <c r="E34" t="s">
        <v>10</v>
      </c>
      <c r="F34" t="s">
        <v>10</v>
      </c>
      <c r="G34" t="s">
        <v>86</v>
      </c>
      <c r="H34" t="s">
        <v>138</v>
      </c>
      <c r="I34">
        <v>0.59</v>
      </c>
      <c r="J34">
        <f>PCB_LoRa_GPS[[#This Row],[Costo Unitario]]*PCB_LoRa_GPS[[#This Row],[Qty]]</f>
        <v>0.59</v>
      </c>
    </row>
    <row r="35" spans="1:10" x14ac:dyDescent="0.25">
      <c r="A35" t="s">
        <v>87</v>
      </c>
      <c r="B35">
        <v>1</v>
      </c>
      <c r="C35" t="s">
        <v>88</v>
      </c>
      <c r="D35" t="s">
        <v>10</v>
      </c>
      <c r="E35" t="s">
        <v>10</v>
      </c>
      <c r="F35" t="s">
        <v>10</v>
      </c>
      <c r="G35" t="s">
        <v>89</v>
      </c>
      <c r="H35" t="s">
        <v>139</v>
      </c>
      <c r="I35">
        <v>0.94</v>
      </c>
      <c r="J35">
        <f>PCB_LoRa_GPS[[#This Row],[Costo Unitario]]*PCB_LoRa_GPS[[#This Row],[Qty]]</f>
        <v>0.94</v>
      </c>
    </row>
    <row r="36" spans="1:10" x14ac:dyDescent="0.25">
      <c r="A36" t="s">
        <v>90</v>
      </c>
      <c r="B36">
        <v>1</v>
      </c>
      <c r="C36" t="s">
        <v>91</v>
      </c>
      <c r="D36" t="s">
        <v>10</v>
      </c>
      <c r="E36" t="s">
        <v>10</v>
      </c>
      <c r="F36" t="s">
        <v>10</v>
      </c>
      <c r="G36" t="s">
        <v>92</v>
      </c>
      <c r="H36" t="s">
        <v>93</v>
      </c>
      <c r="I36">
        <v>6.79</v>
      </c>
      <c r="J36">
        <f>PCB_LoRa_GPS[[#This Row],[Costo Unitario]]*PCB_LoRa_GPS[[#This Row],[Qty]]</f>
        <v>6.79</v>
      </c>
    </row>
    <row r="37" spans="1:10" x14ac:dyDescent="0.25">
      <c r="A37" t="s">
        <v>94</v>
      </c>
      <c r="B37">
        <v>1</v>
      </c>
      <c r="C37" t="s">
        <v>95</v>
      </c>
      <c r="D37" t="s">
        <v>10</v>
      </c>
      <c r="E37" t="s">
        <v>10</v>
      </c>
      <c r="F37" t="s">
        <v>10</v>
      </c>
      <c r="G37" t="s">
        <v>96</v>
      </c>
      <c r="H37" s="1" t="s">
        <v>140</v>
      </c>
      <c r="I37">
        <v>22.99</v>
      </c>
      <c r="J37">
        <f>PCB_LoRa_GPS[[#This Row],[Costo Unitario]]*PCB_LoRa_GPS[[#This Row],[Qty]]</f>
        <v>22.99</v>
      </c>
    </row>
    <row r="38" spans="1:10" x14ac:dyDescent="0.25">
      <c r="A38" t="s">
        <v>9</v>
      </c>
      <c r="B38">
        <v>1</v>
      </c>
      <c r="C38" t="s">
        <v>97</v>
      </c>
      <c r="D38" t="s">
        <v>10</v>
      </c>
      <c r="E38" t="s">
        <v>10</v>
      </c>
      <c r="F38" t="s">
        <v>10</v>
      </c>
      <c r="G38" t="s">
        <v>98</v>
      </c>
      <c r="H38" t="s">
        <v>141</v>
      </c>
      <c r="I38">
        <v>0.19</v>
      </c>
      <c r="J38">
        <f>PCB_LoRa_GPS[[#This Row],[Costo Unitario]]*PCB_LoRa_GPS[[#This Row],[Qty]]</f>
        <v>0.19</v>
      </c>
    </row>
    <row r="39" spans="1:10" x14ac:dyDescent="0.25">
      <c r="A39" t="s">
        <v>99</v>
      </c>
      <c r="B39">
        <v>1</v>
      </c>
      <c r="C39" t="s">
        <v>100</v>
      </c>
      <c r="D39" t="s">
        <v>10</v>
      </c>
      <c r="E39" t="s">
        <v>10</v>
      </c>
      <c r="F39" t="s">
        <v>10</v>
      </c>
      <c r="G39" t="s">
        <v>101</v>
      </c>
      <c r="H39" t="s">
        <v>142</v>
      </c>
      <c r="I39">
        <v>2.36</v>
      </c>
      <c r="J39">
        <f>PCB_LoRa_GPS[[#This Row],[Costo Unitario]]*PCB_LoRa_GPS[[#This Row],[Qty]]</f>
        <v>2.36</v>
      </c>
    </row>
    <row r="40" spans="1:10" x14ac:dyDescent="0.25">
      <c r="A40" t="s">
        <v>102</v>
      </c>
      <c r="B40">
        <v>1</v>
      </c>
      <c r="C40" t="s">
        <v>103</v>
      </c>
      <c r="D40" t="s">
        <v>10</v>
      </c>
      <c r="E40" t="s">
        <v>10</v>
      </c>
      <c r="F40" t="s">
        <v>10</v>
      </c>
      <c r="G40" t="s">
        <v>104</v>
      </c>
      <c r="H40" t="s">
        <v>105</v>
      </c>
      <c r="I40">
        <v>12.07</v>
      </c>
      <c r="J40">
        <f>PCB_LoRa_GPS[[#This Row],[Costo Unitario]]*PCB_LoRa_GPS[[#This Row],[Qty]]</f>
        <v>12.07</v>
      </c>
    </row>
    <row r="41" spans="1:10" x14ac:dyDescent="0.25">
      <c r="A41" t="s">
        <v>106</v>
      </c>
      <c r="B41">
        <v>1</v>
      </c>
      <c r="C41" t="s">
        <v>107</v>
      </c>
      <c r="D41" t="s">
        <v>10</v>
      </c>
      <c r="E41" t="s">
        <v>10</v>
      </c>
      <c r="F41" t="s">
        <v>10</v>
      </c>
      <c r="G41" t="s">
        <v>108</v>
      </c>
      <c r="H41" t="s">
        <v>109</v>
      </c>
      <c r="I41">
        <v>4.1399999999999997</v>
      </c>
      <c r="J41">
        <f>PCB_LoRa_GPS[[#This Row],[Costo Unitario]]*PCB_LoRa_GPS[[#This Row],[Qty]]</f>
        <v>4.1399999999999997</v>
      </c>
    </row>
    <row r="42" spans="1:10" x14ac:dyDescent="0.25">
      <c r="A42" t="s">
        <v>110</v>
      </c>
      <c r="B42">
        <v>1</v>
      </c>
      <c r="C42" t="s">
        <v>111</v>
      </c>
      <c r="D42" t="s">
        <v>10</v>
      </c>
      <c r="E42" t="s">
        <v>10</v>
      </c>
      <c r="F42" t="s">
        <v>10</v>
      </c>
      <c r="G42" t="s">
        <v>112</v>
      </c>
      <c r="H42" t="s">
        <v>143</v>
      </c>
      <c r="I42">
        <v>0.51</v>
      </c>
      <c r="J42">
        <f>PCB_LoRa_GPS[[#This Row],[Costo Unitario]]*PCB_LoRa_GPS[[#This Row],[Qty]]</f>
        <v>0.51</v>
      </c>
    </row>
    <row r="43" spans="1:10" x14ac:dyDescent="0.25">
      <c r="A43" s="2"/>
      <c r="B43">
        <v>1</v>
      </c>
      <c r="C43" t="s">
        <v>145</v>
      </c>
      <c r="D43" s="2"/>
      <c r="E43" s="2"/>
      <c r="F43" s="2"/>
      <c r="G43" s="2" t="s">
        <v>146</v>
      </c>
      <c r="H43" s="2" t="s">
        <v>147</v>
      </c>
      <c r="I43" s="2">
        <v>16.98</v>
      </c>
      <c r="J43" s="2">
        <f>PCB_LoRa_GPS[[#This Row],[Costo Unitario]]*PCB_LoRa_GPS[[#This Row],[Qty]]</f>
        <v>16.98</v>
      </c>
    </row>
    <row r="44" spans="1:10" x14ac:dyDescent="0.25">
      <c r="A44" s="2"/>
      <c r="B44">
        <v>1</v>
      </c>
      <c r="C44" t="s">
        <v>148</v>
      </c>
      <c r="D44" s="2"/>
      <c r="E44" s="2"/>
      <c r="F44" s="2"/>
      <c r="G44" s="2" t="s">
        <v>146</v>
      </c>
      <c r="H44" s="2" t="s">
        <v>149</v>
      </c>
      <c r="I44" s="2">
        <v>9.36</v>
      </c>
      <c r="J44" s="2">
        <f>PCB_LoRa_GPS[[#This Row],[Costo Unitario]]*PCB_LoRa_GPS[[#This Row],[Qty]]</f>
        <v>9.36</v>
      </c>
    </row>
    <row r="45" spans="1:10" x14ac:dyDescent="0.25">
      <c r="A45" s="2"/>
      <c r="B45">
        <v>1</v>
      </c>
      <c r="C45" s="2" t="s">
        <v>151</v>
      </c>
      <c r="D45" s="2"/>
      <c r="E45" s="2"/>
      <c r="F45" s="2"/>
      <c r="G45" s="2" t="s">
        <v>146</v>
      </c>
      <c r="H45" s="2" t="s">
        <v>150</v>
      </c>
      <c r="I45" s="2">
        <v>10</v>
      </c>
      <c r="J45" s="2">
        <f>PCB_LoRa_GPS[[#This Row],[Costo Unitario]]*PCB_LoRa_GPS[[#This Row],[Qty]]</f>
        <v>10</v>
      </c>
    </row>
    <row r="46" spans="1:10" x14ac:dyDescent="0.25">
      <c r="A46" s="2"/>
      <c r="B46">
        <v>1</v>
      </c>
      <c r="C46" t="s">
        <v>153</v>
      </c>
      <c r="D46" s="2"/>
      <c r="E46" s="2"/>
      <c r="F46" s="2"/>
      <c r="G46" s="2" t="s">
        <v>146</v>
      </c>
      <c r="H46" s="2" t="s">
        <v>152</v>
      </c>
      <c r="I46" s="2">
        <v>9.9499999999999993</v>
      </c>
      <c r="J46" s="2">
        <f>PCB_LoRa_GPS[[#This Row],[Costo Unitario]]*PCB_LoRa_GPS[[#This Row],[Qty]]</f>
        <v>9.9499999999999993</v>
      </c>
    </row>
    <row r="47" spans="1:10" x14ac:dyDescent="0.25">
      <c r="A47" s="2"/>
      <c r="B47">
        <v>1</v>
      </c>
      <c r="C47" t="s">
        <v>155</v>
      </c>
      <c r="D47" s="2"/>
      <c r="E47" s="2"/>
      <c r="F47" s="2"/>
      <c r="G47" s="2"/>
      <c r="H47" s="2" t="s">
        <v>154</v>
      </c>
      <c r="I47" s="2">
        <v>1.2</v>
      </c>
      <c r="J47" s="2">
        <f>PCB_LoRa_GPS[[#This Row],[Costo Unitario]]*PCB_LoRa_GPS[[#This Row],[Qty]]</f>
        <v>1.2</v>
      </c>
    </row>
  </sheetData>
  <hyperlinks>
    <hyperlink ref="H20" r:id="rId1" xr:uid="{83B2C7CE-83E3-46E0-BF3D-C6EE71B5FB1A}"/>
    <hyperlink ref="H37" r:id="rId2" xr:uid="{9BA7D61F-1E91-423A-B9A5-4C34CA3DBA9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3DFE-4B61-4243-B9E3-AA032485551B}">
  <dimension ref="A1:C2"/>
  <sheetViews>
    <sheetView workbookViewId="0">
      <selection activeCell="C5" sqref="C5"/>
    </sheetView>
  </sheetViews>
  <sheetFormatPr baseColWidth="10" defaultRowHeight="15" x14ac:dyDescent="0.25"/>
  <cols>
    <col min="1" max="1" width="16.7109375" customWidth="1"/>
    <col min="2" max="2" width="14.7109375" customWidth="1"/>
    <col min="3" max="3" width="7" customWidth="1"/>
  </cols>
  <sheetData>
    <row r="1" spans="1:3" x14ac:dyDescent="0.25">
      <c r="A1" t="s">
        <v>144</v>
      </c>
      <c r="B1" t="s">
        <v>113</v>
      </c>
      <c r="C1" t="s">
        <v>114</v>
      </c>
    </row>
    <row r="2" spans="1:3" x14ac:dyDescent="0.25">
      <c r="A2">
        <v>1</v>
      </c>
      <c r="B2">
        <f>SUM(PCB_LoRa_GPS[Total])</f>
        <v>108.87</v>
      </c>
      <c r="C2">
        <f>A2*B2</f>
        <v>108.87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C197098743B043875A2BCC8CFC5A44" ma:contentTypeVersion="11" ma:contentTypeDescription="Crear nuevo documento." ma:contentTypeScope="" ma:versionID="bd7ea3b8667f6bff975632427aa67636">
  <xsd:schema xmlns:xsd="http://www.w3.org/2001/XMLSchema" xmlns:xs="http://www.w3.org/2001/XMLSchema" xmlns:p="http://schemas.microsoft.com/office/2006/metadata/properties" xmlns:ns3="017d63cf-aacb-433f-be61-2f146b75cd06" xmlns:ns4="52992fd3-dc4d-4594-8aaa-4692e878d2dd" targetNamespace="http://schemas.microsoft.com/office/2006/metadata/properties" ma:root="true" ma:fieldsID="4576141e16ed5a63448786d5a728846e" ns3:_="" ns4:_="">
    <xsd:import namespace="017d63cf-aacb-433f-be61-2f146b75cd06"/>
    <xsd:import namespace="52992fd3-dc4d-4594-8aaa-4692e878d2d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7d63cf-aacb-433f-be61-2f146b75cd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992fd3-dc4d-4594-8aaa-4692e878d2dd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17d63cf-aacb-433f-be61-2f146b75cd06" xsi:nil="true"/>
  </documentManagement>
</p:properties>
</file>

<file path=customXml/itemProps1.xml><?xml version="1.0" encoding="utf-8"?>
<ds:datastoreItem xmlns:ds="http://schemas.openxmlformats.org/officeDocument/2006/customXml" ds:itemID="{F39BF9F3-4739-4E0D-846B-F9F76A68811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D17CD45-65F1-44ED-A546-3C8FA4F5D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7d63cf-aacb-433f-be61-2f146b75cd06"/>
    <ds:schemaRef ds:uri="52992fd3-dc4d-4594-8aaa-4692e878d2d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8D469E-5E1F-499C-94A3-732EB6DB995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ABBD17B-24C7-43BD-A371-6A3249E20488}">
  <ds:schemaRefs>
    <ds:schemaRef ds:uri="017d63cf-aacb-433f-be61-2f146b75cd06"/>
    <ds:schemaRef ds:uri="http://www.w3.org/XML/1998/namespace"/>
    <ds:schemaRef ds:uri="http://schemas.openxmlformats.org/package/2006/metadata/core-properties"/>
    <ds:schemaRef ds:uri="http://purl.org/dc/elements/1.1/"/>
    <ds:schemaRef ds:uri="52992fd3-dc4d-4594-8aaa-4692e878d2dd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PCB_LoRa+GPS</vt:lpstr>
      <vt:lpstr>Totalizadora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RAMALLO</dc:creator>
  <cp:lastModifiedBy>JUAN RAMALLO</cp:lastModifiedBy>
  <dcterms:created xsi:type="dcterms:W3CDTF">2025-10-22T05:53:41Z</dcterms:created>
  <dcterms:modified xsi:type="dcterms:W3CDTF">2025-10-28T02:44:39Z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0x010100E7C197098743B043875A2BCC8CFC5A44</vt:lpwstr>
  </property>
</Properties>
</file>